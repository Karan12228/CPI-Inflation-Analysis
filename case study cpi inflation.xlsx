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ARAN SINGLA\Downloads\"/>
    </mc:Choice>
  </mc:AlternateContent>
  <xr:revisionPtr revIDLastSave="0" documentId="13_ncr:1_{434E7F9A-C6DA-498A-B9D8-25C7BDD6FAE2}" xr6:coauthVersionLast="47" xr6:coauthVersionMax="47" xr10:uidLastSave="{00000000-0000-0000-0000-000000000000}"/>
  <bookViews>
    <workbookView xWindow="-108" yWindow="-108" windowWidth="23256" windowHeight="12456" xr2:uid="{7795B4EA-6334-4BF6-A292-02D636D5D9A7}"/>
  </bookViews>
  <sheets>
    <sheet name="questions answers and observati" sheetId="1" r:id="rId1"/>
    <sheet name="original data" sheetId="2" r:id="rId2"/>
    <sheet name="Answer 1" sheetId="5" r:id="rId3"/>
    <sheet name="Answer 2" sheetId="6" r:id="rId4"/>
    <sheet name="Answer 2 chart" sheetId="9" r:id="rId5"/>
    <sheet name="Answer 3" sheetId="12" r:id="rId6"/>
    <sheet name="Answer3 second part" sheetId="13" r:id="rId7"/>
    <sheet name="Answer 4 covid 19 effect" sheetId="14" r:id="rId8"/>
    <sheet name="Answer 5" sheetId="16" r:id="rId9"/>
  </sheets>
  <definedNames>
    <definedName name="_xlnm._FilterDatabase" localSheetId="2" hidden="1">'Answer 1'!$A$1:$AF$372</definedName>
    <definedName name="_xlnm._FilterDatabase" localSheetId="3" hidden="1">'Answer 2'!$A$1:$AF$367</definedName>
    <definedName name="_xlnm._FilterDatabase" localSheetId="5" hidden="1">'Answer 3'!$A$1:$R$14</definedName>
    <definedName name="_xlnm._FilterDatabase" localSheetId="8" hidden="1">'Answer 5'!$A$1:$AD$30</definedName>
    <definedName name="_xlnm._FilterDatabase" localSheetId="1" hidden="1">'original data'!$A$1:$AD$373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5" i="16" l="1"/>
  <c r="F65" i="16"/>
  <c r="G65" i="16"/>
  <c r="H65" i="16"/>
  <c r="I65" i="16"/>
  <c r="J65" i="16"/>
  <c r="K65" i="16"/>
  <c r="L65" i="16"/>
  <c r="M65" i="16"/>
  <c r="N65" i="16"/>
  <c r="O65" i="16"/>
  <c r="P65" i="16"/>
  <c r="Q65" i="16"/>
  <c r="R65" i="16"/>
  <c r="S65" i="16"/>
  <c r="T65" i="16"/>
  <c r="U65" i="16"/>
  <c r="V65" i="16"/>
  <c r="W65" i="16"/>
  <c r="X65" i="16"/>
  <c r="Y65" i="16"/>
  <c r="Z65" i="16"/>
  <c r="AA65" i="16"/>
  <c r="AB65" i="16"/>
  <c r="AC65" i="16"/>
  <c r="AD65" i="16"/>
  <c r="AD37" i="16"/>
  <c r="AE37" i="16"/>
  <c r="AD38" i="16"/>
  <c r="AE38" i="16"/>
  <c r="AD39" i="16"/>
  <c r="AE39" i="16"/>
  <c r="AD40" i="16"/>
  <c r="AE40" i="16"/>
  <c r="AD41" i="16"/>
  <c r="AE41" i="16"/>
  <c r="AD42" i="16"/>
  <c r="AE42" i="16"/>
  <c r="AD43" i="16"/>
  <c r="AE43" i="16"/>
  <c r="AD44" i="16"/>
  <c r="AE44" i="16"/>
  <c r="AD45" i="16"/>
  <c r="AE45" i="16"/>
  <c r="AD46" i="16"/>
  <c r="AE46" i="16"/>
  <c r="AD47" i="16"/>
  <c r="AE47" i="16"/>
  <c r="AD48" i="16"/>
  <c r="AE48" i="16"/>
  <c r="AD49" i="16"/>
  <c r="AE49" i="16"/>
  <c r="AD50" i="16"/>
  <c r="AE50" i="16"/>
  <c r="AD51" i="16"/>
  <c r="AE51" i="16"/>
  <c r="AD52" i="16"/>
  <c r="AE52" i="16"/>
  <c r="AD53" i="16"/>
  <c r="AE53" i="16"/>
  <c r="AD54" i="16"/>
  <c r="AE54" i="16"/>
  <c r="AD55" i="16"/>
  <c r="AE55" i="16"/>
  <c r="AD56" i="16"/>
  <c r="AE56" i="16"/>
  <c r="AD57" i="16"/>
  <c r="AE57" i="16"/>
  <c r="AD58" i="16"/>
  <c r="AE58" i="16"/>
  <c r="AD59" i="16"/>
  <c r="AE59" i="16"/>
  <c r="AD60" i="16"/>
  <c r="AE60" i="16"/>
  <c r="AD61" i="16"/>
  <c r="AE61" i="16"/>
  <c r="AD62" i="16"/>
  <c r="AE62" i="16"/>
  <c r="AD63" i="16"/>
  <c r="AE63" i="16"/>
  <c r="AE36" i="16"/>
  <c r="D36" i="16"/>
  <c r="D65" i="16" s="1"/>
  <c r="J14" i="14"/>
  <c r="E15" i="14"/>
  <c r="F15" i="14"/>
  <c r="G15" i="14"/>
  <c r="H15" i="14"/>
  <c r="I15" i="14"/>
  <c r="J15" i="14"/>
  <c r="K15" i="14"/>
  <c r="L15" i="14"/>
  <c r="M15" i="14"/>
  <c r="N15" i="14"/>
  <c r="O15" i="14"/>
  <c r="P15" i="14"/>
  <c r="Q15" i="14"/>
  <c r="R15" i="14"/>
  <c r="S15" i="14"/>
  <c r="T15" i="14"/>
  <c r="U15" i="14"/>
  <c r="V15" i="14"/>
  <c r="W15" i="14"/>
  <c r="X15" i="14"/>
  <c r="Y15" i="14"/>
  <c r="D15" i="14"/>
  <c r="D16" i="14" s="1"/>
  <c r="E14" i="14"/>
  <c r="E16" i="14" s="1"/>
  <c r="F14" i="14"/>
  <c r="F16" i="14" s="1"/>
  <c r="G14" i="14"/>
  <c r="G16" i="14" s="1"/>
  <c r="H14" i="14"/>
  <c r="H16" i="14" s="1"/>
  <c r="I14" i="14"/>
  <c r="I16" i="14" s="1"/>
  <c r="J16" i="14"/>
  <c r="K14" i="14"/>
  <c r="K16" i="14" s="1"/>
  <c r="L14" i="14"/>
  <c r="L16" i="14" s="1"/>
  <c r="M14" i="14"/>
  <c r="M16" i="14" s="1"/>
  <c r="N14" i="14"/>
  <c r="N16" i="14" s="1"/>
  <c r="O14" i="14"/>
  <c r="O16" i="14" s="1"/>
  <c r="P14" i="14"/>
  <c r="P16" i="14" s="1"/>
  <c r="Q14" i="14"/>
  <c r="Q16" i="14" s="1"/>
  <c r="R14" i="14"/>
  <c r="R16" i="14" s="1"/>
  <c r="S14" i="14"/>
  <c r="S16" i="14" s="1"/>
  <c r="T14" i="14"/>
  <c r="T16" i="14" s="1"/>
  <c r="U14" i="14"/>
  <c r="U16" i="14" s="1"/>
  <c r="V14" i="14"/>
  <c r="V16" i="14" s="1"/>
  <c r="W14" i="14"/>
  <c r="W16" i="14" s="1"/>
  <c r="X14" i="14"/>
  <c r="X16" i="14" s="1"/>
  <c r="Y14" i="14"/>
  <c r="Y16" i="14" s="1"/>
  <c r="D14" i="14"/>
  <c r="AJ367" i="5"/>
  <c r="D37" i="16"/>
  <c r="E37" i="16"/>
  <c r="F37" i="16"/>
  <c r="G37" i="16"/>
  <c r="H37" i="16"/>
  <c r="I37" i="16"/>
  <c r="J37" i="16"/>
  <c r="K37" i="16"/>
  <c r="L37" i="16"/>
  <c r="M37" i="16"/>
  <c r="N37" i="16"/>
  <c r="O37" i="16"/>
  <c r="P37" i="16"/>
  <c r="Q37" i="16"/>
  <c r="R37" i="16"/>
  <c r="S37" i="16"/>
  <c r="T37" i="16"/>
  <c r="U37" i="16"/>
  <c r="V37" i="16"/>
  <c r="W37" i="16"/>
  <c r="X37" i="16"/>
  <c r="Y37" i="16"/>
  <c r="Z37" i="16"/>
  <c r="AA37" i="16"/>
  <c r="AB37" i="16"/>
  <c r="AC37" i="16"/>
  <c r="D38" i="16"/>
  <c r="E38" i="16"/>
  <c r="F38" i="16"/>
  <c r="G38" i="16"/>
  <c r="H38" i="16"/>
  <c r="I38" i="16"/>
  <c r="J38" i="16"/>
  <c r="K38" i="16"/>
  <c r="L38" i="16"/>
  <c r="M38" i="16"/>
  <c r="N38" i="16"/>
  <c r="O38" i="16"/>
  <c r="P38" i="16"/>
  <c r="Q38" i="16"/>
  <c r="R38" i="16"/>
  <c r="S38" i="16"/>
  <c r="T38" i="16"/>
  <c r="U38" i="16"/>
  <c r="V38" i="16"/>
  <c r="W38" i="16"/>
  <c r="X38" i="16"/>
  <c r="Y38" i="16"/>
  <c r="Z38" i="16"/>
  <c r="AA38" i="16"/>
  <c r="AB38" i="16"/>
  <c r="AC38" i="16"/>
  <c r="D39" i="16"/>
  <c r="E39" i="16"/>
  <c r="F39" i="16"/>
  <c r="G39" i="16"/>
  <c r="H39" i="16"/>
  <c r="I39" i="16"/>
  <c r="J39" i="16"/>
  <c r="K39" i="16"/>
  <c r="L39" i="16"/>
  <c r="M39" i="16"/>
  <c r="N39" i="16"/>
  <c r="O39" i="16"/>
  <c r="P39" i="16"/>
  <c r="Q39" i="16"/>
  <c r="R39" i="16"/>
  <c r="S39" i="16"/>
  <c r="T39" i="16"/>
  <c r="U39" i="16"/>
  <c r="V39" i="16"/>
  <c r="W39" i="16"/>
  <c r="X39" i="16"/>
  <c r="Y39" i="16"/>
  <c r="Z39" i="16"/>
  <c r="AA39" i="16"/>
  <c r="AB39" i="16"/>
  <c r="AC39" i="16"/>
  <c r="D40" i="16"/>
  <c r="E40" i="16"/>
  <c r="F40" i="16"/>
  <c r="G40" i="16"/>
  <c r="H40" i="16"/>
  <c r="I40" i="16"/>
  <c r="J40" i="16"/>
  <c r="K40" i="16"/>
  <c r="L40" i="16"/>
  <c r="M40" i="16"/>
  <c r="N40" i="16"/>
  <c r="O40" i="16"/>
  <c r="P40" i="16"/>
  <c r="Q40" i="16"/>
  <c r="R40" i="16"/>
  <c r="S40" i="16"/>
  <c r="T40" i="16"/>
  <c r="U40" i="16"/>
  <c r="V40" i="16"/>
  <c r="W40" i="16"/>
  <c r="X40" i="16"/>
  <c r="Y40" i="16"/>
  <c r="Z40" i="16"/>
  <c r="AA40" i="16"/>
  <c r="AB40" i="16"/>
  <c r="AC40" i="16"/>
  <c r="D41" i="16"/>
  <c r="E41" i="16"/>
  <c r="F41" i="16"/>
  <c r="G41" i="16"/>
  <c r="H41" i="16"/>
  <c r="I41" i="16"/>
  <c r="J41" i="16"/>
  <c r="K41" i="16"/>
  <c r="L41" i="16"/>
  <c r="M41" i="16"/>
  <c r="N41" i="16"/>
  <c r="O41" i="16"/>
  <c r="P41" i="16"/>
  <c r="Q41" i="16"/>
  <c r="R41" i="16"/>
  <c r="S41" i="16"/>
  <c r="T41" i="16"/>
  <c r="U41" i="16"/>
  <c r="V41" i="16"/>
  <c r="W41" i="16"/>
  <c r="X41" i="16"/>
  <c r="Y41" i="16"/>
  <c r="Z41" i="16"/>
  <c r="AA41" i="16"/>
  <c r="AB41" i="16"/>
  <c r="AC41" i="16"/>
  <c r="D42" i="16"/>
  <c r="E42" i="16"/>
  <c r="F42" i="16"/>
  <c r="G42" i="16"/>
  <c r="H42" i="16"/>
  <c r="I42" i="16"/>
  <c r="J42" i="16"/>
  <c r="K42" i="16"/>
  <c r="L42" i="16"/>
  <c r="M42" i="16"/>
  <c r="N42" i="16"/>
  <c r="O42" i="16"/>
  <c r="P42" i="16"/>
  <c r="Q42" i="16"/>
  <c r="R42" i="16"/>
  <c r="S42" i="16"/>
  <c r="T42" i="16"/>
  <c r="U42" i="16"/>
  <c r="V42" i="16"/>
  <c r="W42" i="16"/>
  <c r="X42" i="16"/>
  <c r="Y42" i="16"/>
  <c r="Z42" i="16"/>
  <c r="AA42" i="16"/>
  <c r="AB42" i="16"/>
  <c r="AC42" i="16"/>
  <c r="D43" i="16"/>
  <c r="E43" i="16"/>
  <c r="F43" i="16"/>
  <c r="G43" i="16"/>
  <c r="H43" i="16"/>
  <c r="I43" i="16"/>
  <c r="J43" i="16"/>
  <c r="K43" i="16"/>
  <c r="L43" i="16"/>
  <c r="M43" i="16"/>
  <c r="N43" i="16"/>
  <c r="O43" i="16"/>
  <c r="P43" i="16"/>
  <c r="Q43" i="16"/>
  <c r="R43" i="16"/>
  <c r="S43" i="16"/>
  <c r="T43" i="16"/>
  <c r="U43" i="16"/>
  <c r="V43" i="16"/>
  <c r="W43" i="16"/>
  <c r="X43" i="16"/>
  <c r="Y43" i="16"/>
  <c r="Z43" i="16"/>
  <c r="AA43" i="16"/>
  <c r="AB43" i="16"/>
  <c r="AC43" i="16"/>
  <c r="D44" i="16"/>
  <c r="E44" i="16"/>
  <c r="F44" i="16"/>
  <c r="G44" i="16"/>
  <c r="H44" i="16"/>
  <c r="I44" i="16"/>
  <c r="J44" i="16"/>
  <c r="K44" i="16"/>
  <c r="L44" i="16"/>
  <c r="M44" i="16"/>
  <c r="N44" i="16"/>
  <c r="O44" i="16"/>
  <c r="P44" i="16"/>
  <c r="Q44" i="16"/>
  <c r="R44" i="16"/>
  <c r="S44" i="16"/>
  <c r="T44" i="16"/>
  <c r="U44" i="16"/>
  <c r="V44" i="16"/>
  <c r="W44" i="16"/>
  <c r="X44" i="16"/>
  <c r="Y44" i="16"/>
  <c r="Z44" i="16"/>
  <c r="AA44" i="16"/>
  <c r="AB44" i="16"/>
  <c r="AC44" i="16"/>
  <c r="D45" i="16"/>
  <c r="E45" i="16"/>
  <c r="F45" i="16"/>
  <c r="G45" i="16"/>
  <c r="H45" i="16"/>
  <c r="I45" i="16"/>
  <c r="J45" i="16"/>
  <c r="K45" i="16"/>
  <c r="L45" i="16"/>
  <c r="M45" i="16"/>
  <c r="N45" i="16"/>
  <c r="O45" i="16"/>
  <c r="P45" i="16"/>
  <c r="Q45" i="16"/>
  <c r="R45" i="16"/>
  <c r="S45" i="16"/>
  <c r="T45" i="16"/>
  <c r="U45" i="16"/>
  <c r="V45" i="16"/>
  <c r="W45" i="16"/>
  <c r="X45" i="16"/>
  <c r="Y45" i="16"/>
  <c r="Z45" i="16"/>
  <c r="AA45" i="16"/>
  <c r="AB45" i="16"/>
  <c r="AC45" i="16"/>
  <c r="D46" i="16"/>
  <c r="E46" i="16"/>
  <c r="F46" i="16"/>
  <c r="G46" i="16"/>
  <c r="H46" i="16"/>
  <c r="I46" i="16"/>
  <c r="J46" i="16"/>
  <c r="K46" i="16"/>
  <c r="L46" i="16"/>
  <c r="M46" i="16"/>
  <c r="N46" i="16"/>
  <c r="O46" i="16"/>
  <c r="P46" i="16"/>
  <c r="Q46" i="16"/>
  <c r="R46" i="16"/>
  <c r="S46" i="16"/>
  <c r="T46" i="16"/>
  <c r="U46" i="16"/>
  <c r="V46" i="16"/>
  <c r="W46" i="16"/>
  <c r="X46" i="16"/>
  <c r="Y46" i="16"/>
  <c r="Z46" i="16"/>
  <c r="AA46" i="16"/>
  <c r="AB46" i="16"/>
  <c r="AC46" i="16"/>
  <c r="D47" i="16"/>
  <c r="E47" i="16"/>
  <c r="F47" i="16"/>
  <c r="G47" i="16"/>
  <c r="H47" i="16"/>
  <c r="I47" i="16"/>
  <c r="J47" i="16"/>
  <c r="K47" i="16"/>
  <c r="L47" i="16"/>
  <c r="M47" i="16"/>
  <c r="N47" i="16"/>
  <c r="O47" i="16"/>
  <c r="P47" i="16"/>
  <c r="Q47" i="16"/>
  <c r="R47" i="16"/>
  <c r="S47" i="16"/>
  <c r="T47" i="16"/>
  <c r="U47" i="16"/>
  <c r="V47" i="16"/>
  <c r="W47" i="16"/>
  <c r="X47" i="16"/>
  <c r="Y47" i="16"/>
  <c r="Z47" i="16"/>
  <c r="AA47" i="16"/>
  <c r="AB47" i="16"/>
  <c r="AC47" i="16"/>
  <c r="D48" i="16"/>
  <c r="E48" i="16"/>
  <c r="F48" i="16"/>
  <c r="G48" i="16"/>
  <c r="H48" i="16"/>
  <c r="I48" i="16"/>
  <c r="J48" i="16"/>
  <c r="K48" i="16"/>
  <c r="L48" i="16"/>
  <c r="M48" i="16"/>
  <c r="N48" i="16"/>
  <c r="O48" i="16"/>
  <c r="P48" i="16"/>
  <c r="Q48" i="16"/>
  <c r="R48" i="16"/>
  <c r="S48" i="16"/>
  <c r="T48" i="16"/>
  <c r="U48" i="16"/>
  <c r="V48" i="16"/>
  <c r="W48" i="16"/>
  <c r="X48" i="16"/>
  <c r="Y48" i="16"/>
  <c r="Z48" i="16"/>
  <c r="AA48" i="16"/>
  <c r="AB48" i="16"/>
  <c r="AC48" i="16"/>
  <c r="D49" i="16"/>
  <c r="E49" i="16"/>
  <c r="F49" i="16"/>
  <c r="G49" i="16"/>
  <c r="H49" i="16"/>
  <c r="I49" i="16"/>
  <c r="J49" i="16"/>
  <c r="K49" i="16"/>
  <c r="L49" i="16"/>
  <c r="M49" i="16"/>
  <c r="N49" i="16"/>
  <c r="O49" i="16"/>
  <c r="P49" i="16"/>
  <c r="Q49" i="16"/>
  <c r="R49" i="16"/>
  <c r="S49" i="16"/>
  <c r="T49" i="16"/>
  <c r="U49" i="16"/>
  <c r="V49" i="16"/>
  <c r="W49" i="16"/>
  <c r="X49" i="16"/>
  <c r="Y49" i="16"/>
  <c r="Z49" i="16"/>
  <c r="AA49" i="16"/>
  <c r="AB49" i="16"/>
  <c r="AC49" i="16"/>
  <c r="D50" i="16"/>
  <c r="E50" i="16"/>
  <c r="F50" i="16"/>
  <c r="G50" i="16"/>
  <c r="H50" i="16"/>
  <c r="I50" i="16"/>
  <c r="J50" i="16"/>
  <c r="K50" i="16"/>
  <c r="L50" i="16"/>
  <c r="M50" i="16"/>
  <c r="N50" i="16"/>
  <c r="O50" i="16"/>
  <c r="P50" i="16"/>
  <c r="Q50" i="16"/>
  <c r="R50" i="16"/>
  <c r="S50" i="16"/>
  <c r="T50" i="16"/>
  <c r="U50" i="16"/>
  <c r="V50" i="16"/>
  <c r="W50" i="16"/>
  <c r="X50" i="16"/>
  <c r="Y50" i="16"/>
  <c r="Z50" i="16"/>
  <c r="AA50" i="16"/>
  <c r="AB50" i="16"/>
  <c r="AC50" i="16"/>
  <c r="D51" i="16"/>
  <c r="E51" i="16"/>
  <c r="F51" i="16"/>
  <c r="G51" i="16"/>
  <c r="H51" i="16"/>
  <c r="I51" i="16"/>
  <c r="J51" i="16"/>
  <c r="K51" i="16"/>
  <c r="L51" i="16"/>
  <c r="M51" i="16"/>
  <c r="N51" i="16"/>
  <c r="O51" i="16"/>
  <c r="P51" i="16"/>
  <c r="Q51" i="16"/>
  <c r="R51" i="16"/>
  <c r="S51" i="16"/>
  <c r="T51" i="16"/>
  <c r="U51" i="16"/>
  <c r="V51" i="16"/>
  <c r="W51" i="16"/>
  <c r="X51" i="16"/>
  <c r="Y51" i="16"/>
  <c r="Z51" i="16"/>
  <c r="AA51" i="16"/>
  <c r="AB51" i="16"/>
  <c r="AC51" i="16"/>
  <c r="D52" i="16"/>
  <c r="E52" i="16"/>
  <c r="F52" i="16"/>
  <c r="G52" i="16"/>
  <c r="H52" i="16"/>
  <c r="I52" i="16"/>
  <c r="J52" i="16"/>
  <c r="K52" i="16"/>
  <c r="L52" i="16"/>
  <c r="M52" i="16"/>
  <c r="N52" i="16"/>
  <c r="O52" i="16"/>
  <c r="P52" i="16"/>
  <c r="Q52" i="16"/>
  <c r="R52" i="16"/>
  <c r="S52" i="16"/>
  <c r="T52" i="16"/>
  <c r="U52" i="16"/>
  <c r="V52" i="16"/>
  <c r="W52" i="16"/>
  <c r="X52" i="16"/>
  <c r="Y52" i="16"/>
  <c r="Z52" i="16"/>
  <c r="AA52" i="16"/>
  <c r="AB52" i="16"/>
  <c r="AC52" i="16"/>
  <c r="D53" i="16"/>
  <c r="E53" i="16"/>
  <c r="F53" i="16"/>
  <c r="G53" i="16"/>
  <c r="H53" i="16"/>
  <c r="I53" i="16"/>
  <c r="J53" i="16"/>
  <c r="K53" i="16"/>
  <c r="L53" i="16"/>
  <c r="M53" i="16"/>
  <c r="N53" i="16"/>
  <c r="O53" i="16"/>
  <c r="P53" i="16"/>
  <c r="Q53" i="16"/>
  <c r="R53" i="16"/>
  <c r="S53" i="16"/>
  <c r="T53" i="16"/>
  <c r="U53" i="16"/>
  <c r="V53" i="16"/>
  <c r="W53" i="16"/>
  <c r="X53" i="16"/>
  <c r="Y53" i="16"/>
  <c r="Z53" i="16"/>
  <c r="AA53" i="16"/>
  <c r="AB53" i="16"/>
  <c r="AC53" i="16"/>
  <c r="D54" i="16"/>
  <c r="E54" i="16"/>
  <c r="F54" i="16"/>
  <c r="G54" i="16"/>
  <c r="H54" i="16"/>
  <c r="I54" i="16"/>
  <c r="J54" i="16"/>
  <c r="K54" i="16"/>
  <c r="L54" i="16"/>
  <c r="M54" i="16"/>
  <c r="N54" i="16"/>
  <c r="O54" i="16"/>
  <c r="P54" i="16"/>
  <c r="Q54" i="16"/>
  <c r="R54" i="16"/>
  <c r="S54" i="16"/>
  <c r="T54" i="16"/>
  <c r="U54" i="16"/>
  <c r="V54" i="16"/>
  <c r="W54" i="16"/>
  <c r="X54" i="16"/>
  <c r="Y54" i="16"/>
  <c r="Z54" i="16"/>
  <c r="AA54" i="16"/>
  <c r="AB54" i="16"/>
  <c r="AC54" i="16"/>
  <c r="D55" i="16"/>
  <c r="E55" i="16"/>
  <c r="F55" i="16"/>
  <c r="G55" i="16"/>
  <c r="H55" i="16"/>
  <c r="I55" i="16"/>
  <c r="J55" i="16"/>
  <c r="K55" i="16"/>
  <c r="L55" i="16"/>
  <c r="M55" i="16"/>
  <c r="N55" i="16"/>
  <c r="O55" i="16"/>
  <c r="P55" i="16"/>
  <c r="Q55" i="16"/>
  <c r="R55" i="16"/>
  <c r="S55" i="16"/>
  <c r="T55" i="16"/>
  <c r="U55" i="16"/>
  <c r="V55" i="16"/>
  <c r="W55" i="16"/>
  <c r="X55" i="16"/>
  <c r="Y55" i="16"/>
  <c r="Z55" i="16"/>
  <c r="AA55" i="16"/>
  <c r="AB55" i="16"/>
  <c r="AC55" i="16"/>
  <c r="D56" i="16"/>
  <c r="E56" i="16"/>
  <c r="F56" i="16"/>
  <c r="G56" i="16"/>
  <c r="H56" i="16"/>
  <c r="I56" i="16"/>
  <c r="J56" i="16"/>
  <c r="K56" i="16"/>
  <c r="L56" i="16"/>
  <c r="M56" i="16"/>
  <c r="N56" i="16"/>
  <c r="O56" i="16"/>
  <c r="P56" i="16"/>
  <c r="Q56" i="16"/>
  <c r="R56" i="16"/>
  <c r="S56" i="16"/>
  <c r="T56" i="16"/>
  <c r="U56" i="16"/>
  <c r="V56" i="16"/>
  <c r="W56" i="16"/>
  <c r="X56" i="16"/>
  <c r="Y56" i="16"/>
  <c r="Z56" i="16"/>
  <c r="AA56" i="16"/>
  <c r="AB56" i="16"/>
  <c r="AC56" i="16"/>
  <c r="D57" i="16"/>
  <c r="E57" i="16"/>
  <c r="F57" i="16"/>
  <c r="G57" i="16"/>
  <c r="H57" i="16"/>
  <c r="I57" i="16"/>
  <c r="J57" i="16"/>
  <c r="K57" i="16"/>
  <c r="L57" i="16"/>
  <c r="M57" i="16"/>
  <c r="N57" i="16"/>
  <c r="O57" i="16"/>
  <c r="P57" i="16"/>
  <c r="Q57" i="16"/>
  <c r="R57" i="16"/>
  <c r="S57" i="16"/>
  <c r="T57" i="16"/>
  <c r="U57" i="16"/>
  <c r="V57" i="16"/>
  <c r="W57" i="16"/>
  <c r="X57" i="16"/>
  <c r="Y57" i="16"/>
  <c r="Z57" i="16"/>
  <c r="AA57" i="16"/>
  <c r="AB57" i="16"/>
  <c r="AC57" i="16"/>
  <c r="D58" i="16"/>
  <c r="E58" i="16"/>
  <c r="F58" i="16"/>
  <c r="G58" i="16"/>
  <c r="H58" i="16"/>
  <c r="I58" i="16"/>
  <c r="J58" i="16"/>
  <c r="K58" i="16"/>
  <c r="L58" i="16"/>
  <c r="M58" i="16"/>
  <c r="N58" i="16"/>
  <c r="O58" i="16"/>
  <c r="P58" i="16"/>
  <c r="Q58" i="16"/>
  <c r="R58" i="16"/>
  <c r="S58" i="16"/>
  <c r="T58" i="16"/>
  <c r="U58" i="16"/>
  <c r="V58" i="16"/>
  <c r="W58" i="16"/>
  <c r="X58" i="16"/>
  <c r="Y58" i="16"/>
  <c r="Z58" i="16"/>
  <c r="AA58" i="16"/>
  <c r="AB58" i="16"/>
  <c r="AC58" i="16"/>
  <c r="D59" i="16"/>
  <c r="E59" i="16"/>
  <c r="F59" i="16"/>
  <c r="G59" i="16"/>
  <c r="H59" i="16"/>
  <c r="I59" i="16"/>
  <c r="J59" i="16"/>
  <c r="K59" i="16"/>
  <c r="L59" i="16"/>
  <c r="M59" i="16"/>
  <c r="N59" i="16"/>
  <c r="O59" i="16"/>
  <c r="P59" i="16"/>
  <c r="Q59" i="16"/>
  <c r="R59" i="16"/>
  <c r="S59" i="16"/>
  <c r="T59" i="16"/>
  <c r="U59" i="16"/>
  <c r="V59" i="16"/>
  <c r="W59" i="16"/>
  <c r="X59" i="16"/>
  <c r="Y59" i="16"/>
  <c r="Z59" i="16"/>
  <c r="AA59" i="16"/>
  <c r="AB59" i="16"/>
  <c r="AC59" i="16"/>
  <c r="D60" i="16"/>
  <c r="E60" i="16"/>
  <c r="F60" i="16"/>
  <c r="G60" i="16"/>
  <c r="H60" i="16"/>
  <c r="I60" i="16"/>
  <c r="J60" i="16"/>
  <c r="K60" i="16"/>
  <c r="L60" i="16"/>
  <c r="M60" i="16"/>
  <c r="N60" i="16"/>
  <c r="O60" i="16"/>
  <c r="P60" i="16"/>
  <c r="Q60" i="16"/>
  <c r="R60" i="16"/>
  <c r="S60" i="16"/>
  <c r="T60" i="16"/>
  <c r="U60" i="16"/>
  <c r="V60" i="16"/>
  <c r="W60" i="16"/>
  <c r="X60" i="16"/>
  <c r="Y60" i="16"/>
  <c r="Z60" i="16"/>
  <c r="AA60" i="16"/>
  <c r="AB60" i="16"/>
  <c r="AC60" i="16"/>
  <c r="D61" i="16"/>
  <c r="E61" i="16"/>
  <c r="F61" i="16"/>
  <c r="G61" i="16"/>
  <c r="H61" i="16"/>
  <c r="I61" i="16"/>
  <c r="J61" i="16"/>
  <c r="K61" i="16"/>
  <c r="L61" i="16"/>
  <c r="M61" i="16"/>
  <c r="N61" i="16"/>
  <c r="O61" i="16"/>
  <c r="P61" i="16"/>
  <c r="Q61" i="16"/>
  <c r="R61" i="16"/>
  <c r="S61" i="16"/>
  <c r="T61" i="16"/>
  <c r="U61" i="16"/>
  <c r="V61" i="16"/>
  <c r="W61" i="16"/>
  <c r="X61" i="16"/>
  <c r="Y61" i="16"/>
  <c r="Z61" i="16"/>
  <c r="AA61" i="16"/>
  <c r="AB61" i="16"/>
  <c r="AC61" i="16"/>
  <c r="D62" i="16"/>
  <c r="E62" i="16"/>
  <c r="F62" i="16"/>
  <c r="G62" i="16"/>
  <c r="H62" i="16"/>
  <c r="I62" i="16"/>
  <c r="J62" i="16"/>
  <c r="K62" i="16"/>
  <c r="L62" i="16"/>
  <c r="M62" i="16"/>
  <c r="N62" i="16"/>
  <c r="O62" i="16"/>
  <c r="P62" i="16"/>
  <c r="Q62" i="16"/>
  <c r="R62" i="16"/>
  <c r="S62" i="16"/>
  <c r="T62" i="16"/>
  <c r="U62" i="16"/>
  <c r="V62" i="16"/>
  <c r="W62" i="16"/>
  <c r="X62" i="16"/>
  <c r="Y62" i="16"/>
  <c r="Z62" i="16"/>
  <c r="AA62" i="16"/>
  <c r="AB62" i="16"/>
  <c r="AC62" i="16"/>
  <c r="D63" i="16"/>
  <c r="E63" i="16"/>
  <c r="F63" i="16"/>
  <c r="G63" i="16"/>
  <c r="H63" i="16"/>
  <c r="I63" i="16"/>
  <c r="J63" i="16"/>
  <c r="K63" i="16"/>
  <c r="L63" i="16"/>
  <c r="M63" i="16"/>
  <c r="N63" i="16"/>
  <c r="O63" i="16"/>
  <c r="P63" i="16"/>
  <c r="Q63" i="16"/>
  <c r="R63" i="16"/>
  <c r="S63" i="16"/>
  <c r="T63" i="16"/>
  <c r="U63" i="16"/>
  <c r="V63" i="16"/>
  <c r="W63" i="16"/>
  <c r="X63" i="16"/>
  <c r="Y63" i="16"/>
  <c r="Z63" i="16"/>
  <c r="AA63" i="16"/>
  <c r="AB63" i="16"/>
  <c r="AC63" i="16"/>
  <c r="E36" i="16"/>
  <c r="F36" i="16"/>
  <c r="G36" i="16"/>
  <c r="H36" i="16"/>
  <c r="I36" i="16"/>
  <c r="J36" i="16"/>
  <c r="K36" i="16"/>
  <c r="L36" i="16"/>
  <c r="M36" i="16"/>
  <c r="N36" i="16"/>
  <c r="O36" i="16"/>
  <c r="P36" i="16"/>
  <c r="Q36" i="16"/>
  <c r="R36" i="16"/>
  <c r="S36" i="16"/>
  <c r="T36" i="16"/>
  <c r="U36" i="16"/>
  <c r="V36" i="16"/>
  <c r="W36" i="16"/>
  <c r="X36" i="16"/>
  <c r="Y36" i="16"/>
  <c r="Z36" i="16"/>
  <c r="AA36" i="16"/>
  <c r="AB36" i="16"/>
  <c r="AC36" i="16"/>
  <c r="AD36" i="16"/>
  <c r="Z15" i="14"/>
  <c r="AA15" i="14"/>
  <c r="AB15" i="14"/>
  <c r="AC15" i="14"/>
  <c r="AD15" i="14"/>
  <c r="E18" i="13"/>
  <c r="F18" i="13"/>
  <c r="G18" i="13"/>
  <c r="H18" i="13"/>
  <c r="I18" i="13"/>
  <c r="J18" i="13"/>
  <c r="K18" i="13"/>
  <c r="L18" i="13"/>
  <c r="M18" i="13"/>
  <c r="N18" i="13"/>
  <c r="O18" i="13"/>
  <c r="P18" i="13"/>
  <c r="D18" i="13"/>
  <c r="Q3" i="12"/>
  <c r="Q4" i="12"/>
  <c r="Q5" i="12"/>
  <c r="Q6" i="12"/>
  <c r="Q7" i="12"/>
  <c r="Q8" i="12"/>
  <c r="Q9" i="12"/>
  <c r="Q10" i="12"/>
  <c r="Q11" i="12"/>
  <c r="Q12" i="12"/>
  <c r="Q13" i="12"/>
  <c r="Q14" i="12"/>
  <c r="Q2" i="12"/>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2" i="5"/>
  <c r="AD367" i="6"/>
  <c r="AD364" i="6"/>
  <c r="AD361" i="6"/>
  <c r="AD358" i="6"/>
  <c r="AD355" i="6"/>
  <c r="AD352" i="6"/>
  <c r="AD349" i="6"/>
  <c r="AD346" i="6"/>
  <c r="AD343" i="6"/>
  <c r="AD340" i="6"/>
  <c r="AD337" i="6"/>
  <c r="AD334" i="6"/>
  <c r="AD331" i="6"/>
  <c r="AD328" i="6"/>
  <c r="AD325" i="6"/>
  <c r="AD322" i="6"/>
  <c r="AD319" i="6"/>
  <c r="AD316" i="6"/>
  <c r="AD313" i="6"/>
  <c r="AD310" i="6"/>
  <c r="AD307" i="6"/>
  <c r="AD304" i="6"/>
  <c r="AD301" i="6"/>
  <c r="AD298" i="6"/>
  <c r="AD295" i="6"/>
  <c r="AD292" i="6"/>
  <c r="AD289" i="6"/>
  <c r="AD286" i="6"/>
  <c r="AD283" i="6"/>
  <c r="AD280" i="6"/>
  <c r="AD277" i="6"/>
  <c r="AD274" i="6"/>
  <c r="AD271" i="6"/>
  <c r="AD268" i="6"/>
  <c r="AD265" i="6"/>
  <c r="AD262" i="6"/>
  <c r="AD259" i="6"/>
  <c r="AD256" i="6"/>
  <c r="AD253" i="6"/>
  <c r="AD250" i="6"/>
  <c r="AD247" i="6"/>
  <c r="AD244" i="6"/>
  <c r="AD241" i="6"/>
  <c r="AD238" i="6"/>
  <c r="AD235" i="6"/>
  <c r="AD232" i="6"/>
  <c r="AD229" i="6"/>
  <c r="AD226" i="6"/>
  <c r="AD223" i="6"/>
  <c r="AD220" i="6"/>
  <c r="AD217" i="6"/>
  <c r="AD214" i="6"/>
  <c r="AD211" i="6"/>
  <c r="AD208" i="6"/>
  <c r="AD205" i="6"/>
  <c r="AD202" i="6"/>
  <c r="AD199" i="6"/>
  <c r="AD196" i="6"/>
  <c r="AD193" i="6"/>
  <c r="AD190" i="6"/>
  <c r="AD187" i="6"/>
  <c r="AD184" i="6"/>
  <c r="AD181" i="6"/>
  <c r="AD178" i="6"/>
  <c r="AD175" i="6"/>
  <c r="AD172" i="6"/>
  <c r="AD169" i="6"/>
  <c r="AD166" i="6"/>
  <c r="AD163" i="6"/>
  <c r="AD160" i="6"/>
  <c r="AD157" i="6"/>
  <c r="AD154" i="6"/>
  <c r="AD151" i="6"/>
  <c r="AD148" i="6"/>
  <c r="AE367" i="6"/>
  <c r="AE364" i="6"/>
  <c r="AE361" i="6"/>
  <c r="AE358" i="6"/>
  <c r="AE355" i="6"/>
  <c r="AE352" i="6"/>
  <c r="AE349" i="6"/>
  <c r="AE346" i="6"/>
  <c r="AE343" i="6"/>
  <c r="AE340" i="6"/>
  <c r="AE337" i="6"/>
  <c r="AE334" i="6"/>
  <c r="AE331" i="6"/>
  <c r="AE328" i="6"/>
  <c r="AE325" i="6"/>
  <c r="AE322" i="6"/>
  <c r="AE319" i="6"/>
  <c r="AE316" i="6"/>
  <c r="AE313" i="6"/>
  <c r="AE310" i="6"/>
  <c r="AE307" i="6"/>
  <c r="AE304" i="6"/>
  <c r="AE301" i="6"/>
  <c r="AE298" i="6"/>
  <c r="AE295" i="6"/>
  <c r="AE292" i="6"/>
  <c r="AE289" i="6"/>
  <c r="AE286" i="6"/>
  <c r="AE283" i="6"/>
  <c r="AE280" i="6"/>
  <c r="AE277" i="6"/>
  <c r="AE274" i="6"/>
  <c r="AE271" i="6"/>
  <c r="AE268" i="6"/>
  <c r="AE265" i="6"/>
  <c r="AE262" i="6"/>
  <c r="AE259" i="6"/>
  <c r="AE256" i="6"/>
  <c r="AE253" i="6"/>
  <c r="AE250" i="6"/>
  <c r="AE247" i="6"/>
  <c r="AE244" i="6"/>
  <c r="AE241" i="6"/>
  <c r="AE238" i="6"/>
  <c r="AE235" i="6"/>
  <c r="AE232" i="6"/>
  <c r="AE229" i="6"/>
  <c r="AE226" i="6"/>
  <c r="AE223" i="6"/>
  <c r="AE220" i="6"/>
  <c r="AE217" i="6"/>
  <c r="AE214" i="6"/>
  <c r="AE211" i="6"/>
  <c r="AE208" i="6"/>
  <c r="AE205" i="6"/>
  <c r="AE202" i="6"/>
  <c r="AE199" i="6"/>
  <c r="AE196" i="6"/>
  <c r="AE193" i="6"/>
  <c r="AE190" i="6"/>
  <c r="AE187" i="6"/>
  <c r="AE184" i="6"/>
  <c r="AE181" i="6"/>
  <c r="AE178" i="6"/>
  <c r="AE175" i="6"/>
  <c r="AE172" i="6"/>
  <c r="AE169" i="6"/>
  <c r="AE166" i="6"/>
  <c r="AE163" i="6"/>
  <c r="AE160" i="6"/>
  <c r="AE157" i="6"/>
  <c r="AE154" i="6"/>
  <c r="AE151" i="6"/>
  <c r="AE148" i="6"/>
  <c r="AD145" i="6"/>
  <c r="AD142" i="6"/>
  <c r="AD139" i="6"/>
  <c r="AD136" i="6"/>
  <c r="AD133" i="6"/>
  <c r="AD130" i="6"/>
  <c r="AD127" i="6"/>
  <c r="AD124" i="6"/>
  <c r="AD121" i="6"/>
  <c r="AD118" i="6"/>
  <c r="AD115" i="6"/>
  <c r="AD112" i="6"/>
  <c r="U365" i="6"/>
  <c r="U362" i="6"/>
  <c r="U359" i="6"/>
  <c r="U356" i="6"/>
  <c r="U353" i="6"/>
  <c r="U350" i="6"/>
  <c r="U347" i="6"/>
  <c r="U344" i="6"/>
  <c r="U341" i="6"/>
  <c r="U338" i="6"/>
  <c r="U335" i="6"/>
  <c r="U332" i="6"/>
  <c r="U329" i="6"/>
  <c r="U326" i="6"/>
  <c r="U323" i="6"/>
  <c r="U320" i="6"/>
  <c r="U317" i="6"/>
  <c r="U314" i="6"/>
  <c r="U311" i="6"/>
  <c r="U308" i="6"/>
  <c r="U305" i="6"/>
  <c r="U302" i="6"/>
  <c r="U299" i="6"/>
  <c r="U296" i="6"/>
  <c r="U293" i="6"/>
  <c r="U290" i="6"/>
  <c r="U287" i="6"/>
  <c r="U284" i="6"/>
  <c r="U281" i="6"/>
  <c r="U278" i="6"/>
  <c r="U275" i="6"/>
  <c r="U272" i="6"/>
  <c r="U269" i="6"/>
  <c r="U266" i="6"/>
  <c r="U263" i="6"/>
  <c r="U260" i="6"/>
  <c r="U257" i="6"/>
  <c r="U254" i="6"/>
  <c r="U251" i="6"/>
  <c r="U248" i="6"/>
  <c r="U245" i="6"/>
  <c r="U242" i="6"/>
  <c r="U239" i="6"/>
  <c r="U236" i="6"/>
  <c r="U233" i="6"/>
  <c r="U230" i="6"/>
  <c r="U227" i="6"/>
  <c r="U224" i="6"/>
  <c r="U221" i="6"/>
  <c r="U218" i="6"/>
  <c r="U215" i="6"/>
  <c r="U212" i="6"/>
  <c r="U209" i="6"/>
  <c r="U206" i="6"/>
  <c r="U203" i="6"/>
  <c r="U200" i="6"/>
  <c r="U197" i="6"/>
  <c r="U194" i="6"/>
  <c r="U191" i="6"/>
  <c r="U188" i="6"/>
  <c r="U185" i="6"/>
  <c r="U182" i="6"/>
  <c r="U179" i="6"/>
  <c r="U176" i="6"/>
  <c r="U173" i="6"/>
  <c r="U170" i="6"/>
  <c r="U167" i="6"/>
  <c r="U164" i="6"/>
  <c r="U161" i="6"/>
  <c r="U158" i="6"/>
  <c r="U155" i="6"/>
  <c r="U152" i="6"/>
  <c r="U149" i="6"/>
  <c r="U146" i="6"/>
  <c r="U143" i="6"/>
  <c r="U140" i="6"/>
  <c r="U137" i="6"/>
  <c r="U134" i="6"/>
  <c r="U131" i="6"/>
  <c r="U128" i="6"/>
  <c r="U125" i="6"/>
  <c r="U122" i="6"/>
  <c r="U119" i="6"/>
  <c r="U116" i="6"/>
  <c r="U113" i="6"/>
  <c r="U110" i="6"/>
  <c r="U107" i="6"/>
  <c r="U104" i="6"/>
  <c r="U101" i="6"/>
  <c r="U98" i="6"/>
  <c r="U95" i="6"/>
  <c r="U92" i="6"/>
  <c r="U89" i="6"/>
  <c r="U86" i="6"/>
  <c r="U83" i="6"/>
  <c r="U80" i="6"/>
  <c r="U77" i="6"/>
  <c r="U74" i="6"/>
  <c r="U71" i="6"/>
  <c r="U68" i="6"/>
  <c r="U65" i="6"/>
  <c r="U62" i="6"/>
  <c r="U59" i="6"/>
  <c r="U56" i="6"/>
  <c r="U53" i="6"/>
  <c r="U50" i="6"/>
  <c r="U47" i="6"/>
  <c r="U44" i="6"/>
  <c r="U41" i="6"/>
  <c r="U38" i="6"/>
  <c r="U35" i="6"/>
  <c r="U32" i="6"/>
  <c r="U29" i="6"/>
  <c r="U26" i="6"/>
  <c r="U23" i="6"/>
  <c r="U20" i="6"/>
  <c r="U17" i="6"/>
  <c r="U14" i="6"/>
  <c r="U11" i="6"/>
  <c r="U8" i="6"/>
  <c r="U5" i="6"/>
  <c r="V365" i="5"/>
  <c r="V362" i="5"/>
  <c r="V359" i="5"/>
  <c r="V356" i="5"/>
  <c r="V353" i="5"/>
  <c r="V350" i="5"/>
  <c r="V347" i="5"/>
  <c r="V344" i="5"/>
  <c r="V341" i="5"/>
  <c r="V338" i="5"/>
  <c r="V335" i="5"/>
  <c r="V332" i="5"/>
  <c r="V329" i="5"/>
  <c r="V326" i="5"/>
  <c r="V323" i="5"/>
  <c r="V320" i="5"/>
  <c r="V317" i="5"/>
  <c r="V314" i="5"/>
  <c r="V311" i="5"/>
  <c r="V308" i="5"/>
  <c r="V305" i="5"/>
  <c r="V302" i="5"/>
  <c r="V299" i="5"/>
  <c r="V296" i="5"/>
  <c r="V293" i="5"/>
  <c r="V290" i="5"/>
  <c r="V287" i="5"/>
  <c r="V284" i="5"/>
  <c r="V281" i="5"/>
  <c r="V278" i="5"/>
  <c r="V275" i="5"/>
  <c r="V272" i="5"/>
  <c r="V269" i="5"/>
  <c r="V266" i="5"/>
  <c r="V263" i="5"/>
  <c r="V260" i="5"/>
  <c r="V257" i="5"/>
  <c r="V254" i="5"/>
  <c r="V251" i="5"/>
  <c r="V248" i="5"/>
  <c r="V245" i="5"/>
  <c r="V242" i="5"/>
  <c r="V239" i="5"/>
  <c r="V236" i="5"/>
  <c r="V233" i="5"/>
  <c r="V230" i="5"/>
  <c r="V227" i="5"/>
  <c r="V224" i="5"/>
  <c r="V221" i="5"/>
  <c r="V218" i="5"/>
  <c r="V215" i="5"/>
  <c r="V212" i="5"/>
  <c r="V209" i="5"/>
  <c r="V206" i="5"/>
  <c r="V203" i="5"/>
  <c r="V200" i="5"/>
  <c r="V197" i="5"/>
  <c r="V194" i="5"/>
  <c r="V191" i="5"/>
  <c r="V188" i="5"/>
  <c r="V185" i="5"/>
  <c r="V182" i="5"/>
  <c r="V179" i="5"/>
  <c r="V176" i="5"/>
  <c r="V173" i="5"/>
  <c r="V170" i="5"/>
  <c r="V167" i="5"/>
  <c r="V164" i="5"/>
  <c r="V161" i="5"/>
  <c r="V158" i="5"/>
  <c r="V155" i="5"/>
  <c r="V152" i="5"/>
  <c r="V149" i="5"/>
  <c r="V146" i="5"/>
  <c r="V143" i="5"/>
  <c r="V140" i="5"/>
  <c r="V137" i="5"/>
  <c r="V134" i="5"/>
  <c r="V131" i="5"/>
  <c r="V128" i="5"/>
  <c r="V125" i="5"/>
  <c r="V122" i="5"/>
  <c r="V119" i="5"/>
  <c r="V116" i="5"/>
  <c r="V113" i="5"/>
  <c r="V110" i="5"/>
  <c r="V107" i="5"/>
  <c r="V104" i="5"/>
  <c r="V101" i="5"/>
  <c r="V98" i="5"/>
  <c r="V95" i="5"/>
  <c r="V92" i="5"/>
  <c r="V89" i="5"/>
  <c r="V86" i="5"/>
  <c r="V83" i="5"/>
  <c r="V80" i="5"/>
  <c r="V77" i="5"/>
  <c r="V74" i="5"/>
  <c r="V71" i="5"/>
  <c r="V68" i="5"/>
  <c r="V65" i="5"/>
  <c r="V62" i="5"/>
  <c r="V59" i="5"/>
  <c r="V56" i="5"/>
  <c r="V53" i="5"/>
  <c r="V50" i="5"/>
  <c r="V47" i="5"/>
  <c r="V44" i="5"/>
  <c r="V41" i="5"/>
  <c r="V38" i="5"/>
  <c r="V35" i="5"/>
  <c r="V32" i="5"/>
  <c r="V29" i="5"/>
  <c r="V26" i="5"/>
  <c r="V23" i="5"/>
  <c r="V20" i="5"/>
  <c r="V17" i="5"/>
  <c r="V14" i="5"/>
  <c r="V11" i="5"/>
  <c r="V8" i="5"/>
  <c r="V5" i="5"/>
  <c r="X368" i="5" l="1"/>
  <c r="D368" i="5"/>
  <c r="R368" i="5"/>
  <c r="R4" i="12"/>
  <c r="R5" i="12"/>
  <c r="R6" i="12"/>
  <c r="R7" i="12"/>
  <c r="R8" i="12"/>
  <c r="R9" i="12"/>
  <c r="R10" i="12"/>
  <c r="R11" i="12"/>
  <c r="R12" i="12"/>
  <c r="R13" i="12"/>
  <c r="R14" i="12"/>
  <c r="R3" i="12"/>
  <c r="U368" i="5" l="1"/>
  <c r="V368" i="5"/>
  <c r="W368" i="5"/>
</calcChain>
</file>

<file path=xl/sharedStrings.xml><?xml version="1.0" encoding="utf-8"?>
<sst xmlns="http://schemas.openxmlformats.org/spreadsheetml/2006/main" count="3120" uniqueCount="180">
  <si>
    <t>Questions and answers with observations</t>
  </si>
  <si>
    <t xml:space="preserve"> question 1(1) : which broader category has the highiest contribution towards CPI Calculation</t>
  </si>
  <si>
    <t>observations and Calculations : 1 :  Did some cleaning in all clomns by imputing matching values like in months's column replacing marcrh with March</t>
  </si>
  <si>
    <t>2: As I can see there is few null values in all columns in similar row so I remove those .</t>
  </si>
  <si>
    <t>3: after all cleaning there was some NA in Housing column so I update them with moving average</t>
  </si>
  <si>
    <t>4: made broader categories such as Food and bevarges which include (Cereals and products, meat and fish, Egg, milk, oils and fats,fruits,vegetables,pulses, and products, sugar and condiments, spices, non-alcoholic beverages, prepared meals )</t>
  </si>
  <si>
    <t>, Pan Tobaco will remain same, Clothing and footwear, Housing will remain same so as Fuel and light , and then will do some misclenious include ( Household goods, health, transport, communication, educationa dn personal care)</t>
  </si>
  <si>
    <t>question 1 (2) : contribution is calculated by what percent every category perform</t>
  </si>
  <si>
    <t>question 2(1) : create a graph to highlight the growth y-o-y and which year has highiest inflation rate from 2017?</t>
  </si>
  <si>
    <t>Observations and Calculation : As specifically mentioned we need 2017 to upwords year and rural+urban area so we will filter accoringly to remove 2013-2015 columns but keep 2016 to compare and filter area column to rural+urban only.</t>
  </si>
  <si>
    <t>2: keep general index as it will be general and calculation for all columns.</t>
  </si>
  <si>
    <t>3: Now we have only 4 colums, area, year, month, general index and hide everything acc. To question.</t>
  </si>
  <si>
    <t>4: Now after calculating % change in inflation we again filter and remove 2016.  The formula for calculation is =General index of same month and year - general index of exact same month of last year/ general index of exact same montth of last year.</t>
  </si>
  <si>
    <t>For eg. General index of (January 2017 - january 2016/ january 2016). Then convert it intor percentage,.</t>
  </si>
  <si>
    <t>5: Now Move these calaculation to another sheet by copy and paste and add chart and I used line chart here</t>
  </si>
  <si>
    <t>Answer 2(1) : By observing the chart we found out 2020 has highiest inflation rate with it almost reaching 9 % In October 2020.</t>
  </si>
  <si>
    <t>Question 2(2):  Highlight the reason of highiest inflation</t>
  </si>
  <si>
    <t>Answer 2(2): It  has highiest inflation as Food and beverages price increased a lot at that time which include factors as Lockdown ,  Heavy unseasonal rains</t>
  </si>
  <si>
    <t>2: At that time fuel and oil prices also increases as india had increased excises duties and taxes on oil.</t>
  </si>
  <si>
    <t>3: because of lockdown 0 revenue.</t>
  </si>
  <si>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</si>
  <si>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</si>
  <si>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</si>
  <si>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</si>
  <si>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</si>
  <si>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</si>
  <si>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</si>
  <si>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</si>
  <si>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</si>
  <si>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</si>
  <si>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</si>
  <si>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</si>
  <si>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</si>
  <si>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</si>
  <si>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</si>
  <si>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</si>
  <si>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</si>
  <si>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</si>
  <si>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</si>
  <si>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</si>
  <si>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</si>
  <si>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</si>
  <si>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</si>
  <si>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</si>
  <si>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</si>
  <si>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</si>
  <si>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</si>
  <si>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</si>
  <si>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</si>
  <si>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</si>
  <si>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</si>
  <si>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</si>
  <si>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</si>
  <si>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</si>
  <si>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</si>
  <si>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</si>
  <si>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</si>
  <si>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</si>
  <si>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</si>
  <si>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</si>
  <si>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</si>
  <si>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</si>
  <si>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</si>
  <si>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</si>
  <si>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</si>
  <si>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</si>
  <si>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</si>
  <si>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</si>
  <si>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</si>
  <si>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Miscellenious</t>
  </si>
  <si>
    <t>Food and Beverages</t>
  </si>
  <si>
    <t xml:space="preserve"> total CPI </t>
  </si>
  <si>
    <t>month n year</t>
  </si>
  <si>
    <t>inflation rate</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</si>
  <si>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</si>
  <si>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</si>
  <si>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</si>
  <si>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</si>
  <si>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</si>
  <si>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</si>
  <si>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</si>
  <si>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</si>
  <si>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</si>
  <si>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</si>
  <si>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</si>
  <si>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</si>
  <si>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</si>
  <si>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</si>
  <si>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</si>
  <si>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</si>
  <si>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</si>
  <si>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</si>
  <si>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</si>
  <si>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</si>
  <si>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</si>
  <si>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</si>
  <si>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</si>
  <si>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</si>
  <si>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</si>
  <si>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</si>
  <si>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</si>
  <si>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May 2019</t>
  </si>
  <si>
    <t>June 2019</t>
  </si>
  <si>
    <t>July 2019</t>
  </si>
  <si>
    <t>August 2019</t>
  </si>
  <si>
    <t>September 2019</t>
  </si>
  <si>
    <t>October 2019</t>
  </si>
  <si>
    <t>November 2019</t>
  </si>
  <si>
    <t>December 2019</t>
  </si>
  <si>
    <t>January 2020</t>
  </si>
  <si>
    <t>February 2020</t>
  </si>
  <si>
    <t>March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</si>
  <si>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</si>
  <si>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</si>
  <si>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</si>
  <si>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</si>
  <si>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</si>
  <si>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</si>
  <si>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</si>
  <si>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</si>
  <si>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</si>
  <si>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</si>
  <si>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</si>
  <si>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</si>
  <si>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</si>
  <si>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</si>
  <si>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</si>
  <si>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</si>
  <si>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</si>
  <si>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</si>
  <si>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</si>
  <si>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</si>
  <si>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</si>
  <si>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</si>
  <si>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</si>
  <si>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</si>
  <si>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</si>
  <si>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</si>
  <si>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</si>
  <si>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</si>
  <si>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</si>
  <si>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</si>
  <si>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</si>
  <si>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</si>
  <si>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</si>
  <si>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</si>
  <si>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</si>
  <si>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</si>
  <si>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question 3(1): Investigate trends on the price or broader food categories and evaluate month on month changes. Highlight the month with highiest and lowest changes</t>
  </si>
  <si>
    <t>Total Food index</t>
  </si>
  <si>
    <t>Month to month inflation</t>
  </si>
  <si>
    <t>observations: First we will filter rows accoring to june 2022 to May 2023 in rurual+ urban area for all food categories.</t>
  </si>
  <si>
    <t>2: We will take extra may 2022 row to calculate % changes.</t>
  </si>
  <si>
    <t>then we create another column for total food index and one more for monthy to month inflation.</t>
  </si>
  <si>
    <t>4: Now compare month to month inflation to check highiest and lowest changes.</t>
  </si>
  <si>
    <t>Answer 3(1): June 2022 has highiest inflation with 1.03% and january 2023 has lowest inflation with -0.59% for food.</t>
  </si>
  <si>
    <t>5: In the next step I will add all cpi index of brader categories by there avearges.</t>
  </si>
  <si>
    <t>Answer : By observing all the rows for latest month which is May 2023 we found that pan and tobaco and pan masala has highiest CPI Contribution with 201 and second is clothing and footwear with 186.2 .</t>
  </si>
  <si>
    <t>Total Index change</t>
  </si>
  <si>
    <t>Question 3 (2) : Biggest individual category contributor for year mid 2022 to mid 2023 in food category</t>
  </si>
  <si>
    <t>Question 4 : How covid 19 affected the inflation rates in india Specially In food, healthcare and trasport sector?</t>
  </si>
  <si>
    <t>CovideIndexJump</t>
  </si>
  <si>
    <t>Before Covid</t>
  </si>
  <si>
    <t>Total Difference</t>
  </si>
  <si>
    <t>Observations : First we will filter the data for last few months of 2019 as say in did from october 2019 to sep 2020.</t>
  </si>
  <si>
    <t>Answer 1(2) : calculate by each category/ sum *100 and find out that pan and obaco is 18.28</t>
  </si>
  <si>
    <t>M-o-m % changes</t>
  </si>
  <si>
    <t xml:space="preserve"> </t>
  </si>
  <si>
    <t>question 5 : Impact of crude oil import in 2021 to 2023 o mom basis. And identify the category which changes most?</t>
  </si>
  <si>
    <t>Observations : 1: We will filter all rows from 2021 to 2023 and add in new sheet.</t>
  </si>
  <si>
    <t>2: On Bottom of this we will create another table lets say m-o-m % means month to month % change for all the values from 2021 to 2023.</t>
  </si>
  <si>
    <t>3: from column D to Ad we will write formula as (D3-D2)/D2 and so on for all columns and rows by dragging it till last.</t>
  </si>
  <si>
    <t>4: Now we will change it two decimal %tile.</t>
  </si>
  <si>
    <t>7. The correl formula will be =Correl(D36:D63, $V$36:$V$63)  means d36 is our ist column of 2021 and d63 is last column comparing with v 36 to v 63 which is fuel n oil column n drag the formula for all columns.</t>
  </si>
  <si>
    <t>Answer 3(2) :  Spices is the biggest contributor in food category with 30.9 index change.</t>
  </si>
  <si>
    <t>We will calculate the data before covid and after covid by using formula as (New-old)/ old or say lets we have = (D6-d2)/d2.</t>
  </si>
  <si>
    <t>Answer :  As we drive look into data Food categories, Transport and health all have really high changes in the mean time .</t>
  </si>
  <si>
    <t>Like meat and fish recordeed 12.04% surge and vegetable recorded 18.69% surge while health and care was stable.</t>
  </si>
  <si>
    <t>crude oil</t>
  </si>
  <si>
    <t>Answer : After doing all this data we got fish and meat got most affected with correl o.40.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</si>
</sst>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9">
    <xf numFmtId="0" fontId="0" fillId="0" borderId="0" xfId="0"/>
    <xf numFmtId="0" fontId="0" fillId="33" borderId="0" xfId="0" applyFill="1"/>
    <xf numFmtId="0" fontId="0" fillId="34" borderId="0" xfId="0" applyFill="1"/>
    <xf numFmtId="9" fontId="0" fillId="0" borderId="0" xfId="42" applyFont="1"/>
    <xf numFmtId="49" fontId="0" fillId="0" borderId="0" xfId="0" applyNumberFormat="1"/>
    <xf numFmtId="10" fontId="0" fillId="0" borderId="0" xfId="42" applyNumberFormat="1" applyFont="1"/>
    <xf numFmtId="164" fontId="0" fillId="0" borderId="0" xfId="42" applyNumberFormat="1" applyFont="1"/>
    <xf numFmtId="4" fontId="19" fillId="0" borderId="10" xfId="0" applyNumberFormat="1" applyFont="1" applyBorder="1" applyAlignment="1">
      <alignment horizontal="right" vertical="center"/>
    </xf>
    <xf numFmtId="43" fontId="0" fillId="0" borderId="0" xfId="43"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highiest contribution towards CPI in latest month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E4-4080-B314-8AE0B2EF5A4D}"/>
              </c:ext>
            </c:extLst>
          </c:dPt>
          <c:dPt>
            <c:idx val="1"/>
            <c:bubble3D val="0"/>
            <c:explosion val="15"/>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E4-4080-B314-8AE0B2EF5A4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E4-4080-B314-8AE0B2EF5A4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FE4-4080-B314-8AE0B2EF5A4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FE4-4080-B314-8AE0B2EF5A4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FE4-4080-B314-8AE0B2EF5A4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Food and beverages</c:v>
              </c:pt>
              <c:pt idx="1">
                <c:v> Pan and Tobaco</c:v>
              </c:pt>
              <c:pt idx="2">
                <c:v> Clothing and Footwear</c:v>
              </c:pt>
              <c:pt idx="3">
                <c:v> housing</c:v>
              </c:pt>
              <c:pt idx="4">
                <c:v> Fuel and oil </c:v>
              </c:pt>
              <c:pt idx="5">
                <c:v> Miscelleneious</c:v>
              </c:pt>
            </c:strLit>
          </c:cat>
          <c:val>
            <c:numRef>
              <c:f>'Answer 1'!$D$368:$X$368</c:f>
              <c:numCache>
                <c:formatCode>General</c:formatCode>
                <c:ptCount val="6"/>
                <c:pt idx="0">
                  <c:v>16.139971774564323</c:v>
                </c:pt>
                <c:pt idx="1">
                  <c:v>18.281566711576822</c:v>
                </c:pt>
                <c:pt idx="2">
                  <c:v>16.935461301968179</c:v>
                </c:pt>
                <c:pt idx="3">
                  <c:v>15.971358778870098</c:v>
                </c:pt>
                <c:pt idx="4">
                  <c:v>16.626220870031062</c:v>
                </c:pt>
                <c:pt idx="5">
                  <c:v>16.045420562989495</c:v>
                </c:pt>
              </c:numCache>
            </c:numRef>
          </c:val>
          <c:extLst>
            <c:ext xmlns:c16="http://schemas.microsoft.com/office/drawing/2014/chart" uri="{C3380CC4-5D6E-409C-BE32-E72D297353CC}">
              <c16:uniqueId val="{00000000-5083-4314-951D-7B624CC4495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Y-o-y inflation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dPt>
            <c:idx val="43"/>
            <c:marker>
              <c:symbol val="none"/>
            </c:marker>
            <c:bubble3D val="0"/>
            <c:extLst>
              <c:ext xmlns:c16="http://schemas.microsoft.com/office/drawing/2014/chart" uri="{C3380CC4-5D6E-409C-BE32-E72D297353CC}">
                <c16:uniqueId val="{00000002-E602-403F-9BBE-F6170DCAF9A2}"/>
              </c:ext>
            </c:extLst>
          </c:dPt>
          <c:dPt>
            <c:idx val="44"/>
            <c:marker>
              <c:symbol val="none"/>
            </c:marker>
            <c:bubble3D val="0"/>
            <c:extLst>
              <c:ext xmlns:c16="http://schemas.microsoft.com/office/drawing/2014/chart" uri="{C3380CC4-5D6E-409C-BE32-E72D297353CC}">
                <c16:uniqueId val="{00000001-E602-403F-9BBE-F6170DCAF9A2}"/>
              </c:ext>
            </c:extLst>
          </c:dPt>
          <c:cat>
            <c:strRef>
              <c:f>'Answer 2 chart'!$D$2:$D$75</c:f>
              <c:strCache>
                <c:ptCount val="74"/>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pt idx="20">
                  <c:v>September 2018</c:v>
                </c:pt>
                <c:pt idx="21">
                  <c:v>October 2018</c:v>
                </c:pt>
                <c:pt idx="22">
                  <c:v>November 2018</c:v>
                </c:pt>
                <c:pt idx="23">
                  <c:v>December 2018</c:v>
                </c:pt>
                <c:pt idx="24">
                  <c:v>January 2019</c:v>
                </c:pt>
                <c:pt idx="25">
                  <c:v>February 2019</c:v>
                </c:pt>
                <c:pt idx="26">
                  <c:v>March 2019</c:v>
                </c:pt>
                <c:pt idx="27">
                  <c:v>May 2019</c:v>
                </c:pt>
                <c:pt idx="28">
                  <c:v>June 2019</c:v>
                </c:pt>
                <c:pt idx="29">
                  <c:v>July 2019</c:v>
                </c:pt>
                <c:pt idx="30">
                  <c:v>August 2019</c:v>
                </c:pt>
                <c:pt idx="31">
                  <c:v>September 2019</c:v>
                </c:pt>
                <c:pt idx="32">
                  <c:v>October 2019</c:v>
                </c:pt>
                <c:pt idx="33">
                  <c:v>November 2019</c:v>
                </c:pt>
                <c:pt idx="34">
                  <c:v>December 2019</c:v>
                </c:pt>
                <c:pt idx="35">
                  <c:v>January 2020</c:v>
                </c:pt>
                <c:pt idx="36">
                  <c:v>February 2020</c:v>
                </c:pt>
                <c:pt idx="37">
                  <c:v>March 2020</c:v>
                </c:pt>
                <c:pt idx="38">
                  <c:v>June 2020</c:v>
                </c:pt>
                <c:pt idx="39">
                  <c:v>July 2020</c:v>
                </c:pt>
                <c:pt idx="40">
                  <c:v>August 2020</c:v>
                </c:pt>
                <c:pt idx="41">
                  <c:v>September 2020</c:v>
                </c:pt>
                <c:pt idx="42">
                  <c:v>October 2020</c:v>
                </c:pt>
                <c:pt idx="43">
                  <c:v>November 2020</c:v>
                </c:pt>
                <c:pt idx="44">
                  <c:v>December 2020</c:v>
                </c:pt>
                <c:pt idx="45">
                  <c:v>January 2021</c:v>
                </c:pt>
                <c:pt idx="46">
                  <c:v>February 2021</c:v>
                </c:pt>
                <c:pt idx="47">
                  <c:v>March 2021</c:v>
                </c:pt>
                <c:pt idx="48">
                  <c:v>April 2021</c:v>
                </c:pt>
                <c:pt idx="49">
                  <c:v>May 2021</c:v>
                </c:pt>
                <c:pt idx="50">
                  <c:v>June 2021</c:v>
                </c:pt>
                <c:pt idx="51">
                  <c:v>July 2021</c:v>
                </c:pt>
                <c:pt idx="52">
                  <c:v>August 2021</c:v>
                </c:pt>
                <c:pt idx="53">
                  <c:v>September 2021</c:v>
                </c:pt>
                <c:pt idx="54">
                  <c:v>October 2021</c:v>
                </c:pt>
                <c:pt idx="55">
                  <c:v>November 2021</c:v>
                </c:pt>
                <c:pt idx="56">
                  <c:v>December 2021</c:v>
                </c:pt>
                <c:pt idx="57">
                  <c:v>January 2022</c:v>
                </c:pt>
                <c:pt idx="58">
                  <c:v>February 2022</c:v>
                </c:pt>
                <c:pt idx="59">
                  <c:v>March 2022</c:v>
                </c:pt>
                <c:pt idx="60">
                  <c:v>April 2022</c:v>
                </c:pt>
                <c:pt idx="61">
                  <c:v>May 2022</c:v>
                </c:pt>
                <c:pt idx="62">
                  <c:v>June 2022</c:v>
                </c:pt>
                <c:pt idx="63">
                  <c:v>July 2022</c:v>
                </c:pt>
                <c:pt idx="64">
                  <c:v>August 2022</c:v>
                </c:pt>
                <c:pt idx="65">
                  <c:v>September 2022</c:v>
                </c:pt>
                <c:pt idx="66">
                  <c:v>October 2022</c:v>
                </c:pt>
                <c:pt idx="67">
                  <c:v>November 2022</c:v>
                </c:pt>
                <c:pt idx="68">
                  <c:v>December 2022</c:v>
                </c:pt>
                <c:pt idx="69">
                  <c:v>January 2023</c:v>
                </c:pt>
                <c:pt idx="70">
                  <c:v>February 2023</c:v>
                </c:pt>
                <c:pt idx="71">
                  <c:v>March 2023</c:v>
                </c:pt>
                <c:pt idx="72">
                  <c:v>April 2023</c:v>
                </c:pt>
                <c:pt idx="73">
                  <c:v>May 2023</c:v>
                </c:pt>
              </c:strCache>
            </c:strRef>
          </c:cat>
          <c:val>
            <c:numRef>
              <c:f>'Answer 2 chart'!$E$2:$E$75</c:f>
              <c:numCache>
                <c:formatCode>0%</c:formatCode>
                <c:ptCount val="74"/>
                <c:pt idx="0">
                  <c:v>3.1670625494853638E-2</c:v>
                </c:pt>
                <c:pt idx="1">
                  <c:v>3.6507936507936462E-2</c:v>
                </c:pt>
                <c:pt idx="2">
                  <c:v>3.8888888888888931E-2</c:v>
                </c:pt>
                <c:pt idx="3">
                  <c:v>2.9850746268656695E-2</c:v>
                </c:pt>
                <c:pt idx="4">
                  <c:v>2.1772939346811911E-2</c:v>
                </c:pt>
                <c:pt idx="5">
                  <c:v>1.4604150653343625E-2</c:v>
                </c:pt>
                <c:pt idx="6">
                  <c:v>2.3646071700991568E-2</c:v>
                </c:pt>
                <c:pt idx="7">
                  <c:v>3.2799389778794902E-2</c:v>
                </c:pt>
                <c:pt idx="8">
                  <c:v>3.2849503437738597E-2</c:v>
                </c:pt>
                <c:pt idx="9">
                  <c:v>3.5768645357686368E-2</c:v>
                </c:pt>
                <c:pt idx="10">
                  <c:v>4.8780487804878099E-2</c:v>
                </c:pt>
                <c:pt idx="11">
                  <c:v>5.2147239263803546E-2</c:v>
                </c:pt>
                <c:pt idx="12">
                  <c:v>5.0652340752110468E-2</c:v>
                </c:pt>
                <c:pt idx="13">
                  <c:v>4.441041347626349E-2</c:v>
                </c:pt>
                <c:pt idx="14">
                  <c:v>4.278074866310156E-2</c:v>
                </c:pt>
                <c:pt idx="15">
                  <c:v>4.5766590389016024E-2</c:v>
                </c:pt>
                <c:pt idx="16">
                  <c:v>4.8706240487062444E-2</c:v>
                </c:pt>
                <c:pt idx="17">
                  <c:v>4.924242424242424E-2</c:v>
                </c:pt>
                <c:pt idx="18">
                  <c:v>4.172876304023862E-2</c:v>
                </c:pt>
                <c:pt idx="19">
                  <c:v>3.6927621861152143E-2</c:v>
                </c:pt>
                <c:pt idx="20">
                  <c:v>3.6982248520710061E-2</c:v>
                </c:pt>
                <c:pt idx="21">
                  <c:v>3.4533431300514457E-2</c:v>
                </c:pt>
                <c:pt idx="22">
                  <c:v>2.3255813953488497E-2</c:v>
                </c:pt>
                <c:pt idx="23">
                  <c:v>2.1137026239067099E-2</c:v>
                </c:pt>
                <c:pt idx="24">
                  <c:v>1.9722425127830449E-2</c:v>
                </c:pt>
                <c:pt idx="25">
                  <c:v>2.5659824046920819E-2</c:v>
                </c:pt>
                <c:pt idx="26">
                  <c:v>2.8571428571428612E-2</c:v>
                </c:pt>
                <c:pt idx="27">
                  <c:v>3.5740335521517182E-2</c:v>
                </c:pt>
                <c:pt idx="28">
                  <c:v>3.7010159651669039E-2</c:v>
                </c:pt>
                <c:pt idx="29">
                  <c:v>4.115523465703963E-2</c:v>
                </c:pt>
                <c:pt idx="30">
                  <c:v>3.7195994277539259E-2</c:v>
                </c:pt>
                <c:pt idx="31">
                  <c:v>3.8461538461538498E-2</c:v>
                </c:pt>
                <c:pt idx="32">
                  <c:v>4.9928673323823114E-2</c:v>
                </c:pt>
                <c:pt idx="33">
                  <c:v>5.5397727272727147E-2</c:v>
                </c:pt>
                <c:pt idx="34">
                  <c:v>6.8181818181818135E-2</c:v>
                </c:pt>
                <c:pt idx="35">
                  <c:v>7.2091363311920023E-2</c:v>
                </c:pt>
                <c:pt idx="36">
                  <c:v>6.8051575931232094E-2</c:v>
                </c:pt>
                <c:pt idx="37">
                  <c:v>6.2187276626161463E-2</c:v>
                </c:pt>
                <c:pt idx="38">
                  <c:v>8.1196581196581227E-2</c:v>
                </c:pt>
                <c:pt idx="39">
                  <c:v>6.9014084507042328E-2</c:v>
                </c:pt>
                <c:pt idx="40">
                  <c:v>7.6976906927921626E-2</c:v>
                </c:pt>
                <c:pt idx="41">
                  <c:v>7.2815533980582534E-2</c:v>
                </c:pt>
                <c:pt idx="42">
                  <c:v>7.8620689655172452E-2</c:v>
                </c:pt>
                <c:pt idx="43">
                  <c:v>8.6419753086419707E-2</c:v>
                </c:pt>
                <c:pt idx="44">
                  <c:v>7.948369565217403E-2</c:v>
                </c:pt>
                <c:pt idx="45">
                  <c:v>5.8546433378196615E-2</c:v>
                </c:pt>
                <c:pt idx="46">
                  <c:v>4.122340425531907E-2</c:v>
                </c:pt>
                <c:pt idx="47">
                  <c:v>4.3941411451398293E-2</c:v>
                </c:pt>
                <c:pt idx="48">
                  <c:v>5.8350100603621849E-2</c:v>
                </c:pt>
                <c:pt idx="49">
                  <c:v>7.9407806191117175E-2</c:v>
                </c:pt>
                <c:pt idx="50">
                  <c:v>6.2582345191040833E-2</c:v>
                </c:pt>
                <c:pt idx="51">
                  <c:v>7.0487483530961709E-2</c:v>
                </c:pt>
                <c:pt idx="52">
                  <c:v>6.0428849902533999E-2</c:v>
                </c:pt>
                <c:pt idx="53">
                  <c:v>5.4945054945054951E-2</c:v>
                </c:pt>
                <c:pt idx="54">
                  <c:v>5.8184143222506354E-2</c:v>
                </c:pt>
                <c:pt idx="55">
                  <c:v>5.2398989898989792E-2</c:v>
                </c:pt>
                <c:pt idx="56">
                  <c:v>4.5940843297671383E-2</c:v>
                </c:pt>
                <c:pt idx="57">
                  <c:v>5.3401144310235071E-2</c:v>
                </c:pt>
                <c:pt idx="58">
                  <c:v>6.066411238825032E-2</c:v>
                </c:pt>
                <c:pt idx="59">
                  <c:v>6.9515306122448828E-2</c:v>
                </c:pt>
                <c:pt idx="60">
                  <c:v>7.7946768060836391E-2</c:v>
                </c:pt>
                <c:pt idx="61">
                  <c:v>7.0448877805486171E-2</c:v>
                </c:pt>
                <c:pt idx="62">
                  <c:v>7.0055796652200755E-2</c:v>
                </c:pt>
                <c:pt idx="63">
                  <c:v>6.7076923076923117E-2</c:v>
                </c:pt>
                <c:pt idx="64">
                  <c:v>6.8014705882353088E-2</c:v>
                </c:pt>
                <c:pt idx="65">
                  <c:v>7.4142156862745237E-2</c:v>
                </c:pt>
                <c:pt idx="66">
                  <c:v>6.7673716012084523E-2</c:v>
                </c:pt>
                <c:pt idx="67">
                  <c:v>5.8788242351529768E-2</c:v>
                </c:pt>
                <c:pt idx="68">
                  <c:v>5.7160048134777382E-2</c:v>
                </c:pt>
                <c:pt idx="69">
                  <c:v>6.5178032589016374E-2</c:v>
                </c:pt>
                <c:pt idx="70">
                  <c:v>6.6827212522576729E-2</c:v>
                </c:pt>
                <c:pt idx="71">
                  <c:v>5.6648777579010143E-2</c:v>
                </c:pt>
                <c:pt idx="72">
                  <c:v>4.7031158142269255E-2</c:v>
                </c:pt>
                <c:pt idx="73">
                  <c:v>4.3098427489807842E-2</c:v>
                </c:pt>
              </c:numCache>
            </c:numRef>
          </c:val>
          <c:smooth val="0"/>
          <c:extLst>
            <c:ext xmlns:c16="http://schemas.microsoft.com/office/drawing/2014/chart" uri="{C3380CC4-5D6E-409C-BE32-E72D297353CC}">
              <c16:uniqueId val="{00000000-5F75-48F2-98F1-2676677BE6D3}"/>
            </c:ext>
          </c:extLst>
        </c:ser>
        <c:dLbls>
          <c:showLegendKey val="0"/>
          <c:showVal val="0"/>
          <c:showCatName val="0"/>
          <c:showSerName val="0"/>
          <c:showPercent val="0"/>
          <c:showBubbleSize val="0"/>
        </c:dLbls>
        <c:smooth val="0"/>
        <c:axId val="1742140608"/>
        <c:axId val="1742143968"/>
      </c:lineChart>
      <c:catAx>
        <c:axId val="1742140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2143968"/>
        <c:crosses val="autoZero"/>
        <c:auto val="1"/>
        <c:lblAlgn val="ctr"/>
        <c:lblOffset val="100"/>
        <c:noMultiLvlLbl val="0"/>
      </c:catAx>
      <c:valAx>
        <c:axId val="1742143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21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to month inflation for June 2022 to may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'Answer 3'!$R$3:$R$14</c:f>
              <c:numCache>
                <c:formatCode>0.00%</c:formatCode>
                <c:ptCount val="12"/>
                <c:pt idx="0">
                  <c:v>1.0272901871454425E-2</c:v>
                </c:pt>
                <c:pt idx="1">
                  <c:v>1.9452672531943328E-3</c:v>
                </c:pt>
                <c:pt idx="2">
                  <c:v>1.2796187618585007E-3</c:v>
                </c:pt>
                <c:pt idx="3">
                  <c:v>5.1560021152829514E-3</c:v>
                </c:pt>
                <c:pt idx="4">
                  <c:v>7.1901442413082701E-3</c:v>
                </c:pt>
                <c:pt idx="5">
                  <c:v>-2.176468027685168E-4</c:v>
                </c:pt>
                <c:pt idx="6">
                  <c:v>-5.8342041100662182E-3</c:v>
                </c:pt>
                <c:pt idx="7">
                  <c:v>4.0728737847069707E-3</c:v>
                </c:pt>
                <c:pt idx="8">
                  <c:v>-5.9318707201117182E-3</c:v>
                </c:pt>
                <c:pt idx="9">
                  <c:v>4.3876968978992914E-5</c:v>
                </c:pt>
                <c:pt idx="10">
                  <c:v>4.5630045630047902E-3</c:v>
                </c:pt>
                <c:pt idx="11">
                  <c:v>7.555904961565281E-3</c:v>
                </c:pt>
              </c:numCache>
            </c:numRef>
          </c:val>
          <c:smooth val="0"/>
          <c:extLst>
            <c:ext xmlns:c16="http://schemas.microsoft.com/office/drawing/2014/chart" uri="{C3380CC4-5D6E-409C-BE32-E72D297353CC}">
              <c16:uniqueId val="{00000000-3A8F-4696-A268-E212C2738334}"/>
            </c:ext>
          </c:extLst>
        </c:ser>
        <c:dLbls>
          <c:showLegendKey val="0"/>
          <c:showVal val="0"/>
          <c:showCatName val="0"/>
          <c:showSerName val="0"/>
          <c:showPercent val="0"/>
          <c:showBubbleSize val="0"/>
        </c:dLbls>
        <c:marker val="1"/>
        <c:smooth val="0"/>
        <c:axId val="246313967"/>
        <c:axId val="2012673647"/>
      </c:lineChart>
      <c:catAx>
        <c:axId val="2463139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673647"/>
        <c:crosses val="autoZero"/>
        <c:auto val="1"/>
        <c:lblAlgn val="ctr"/>
        <c:lblOffset val="100"/>
        <c:noMultiLvlLbl val="0"/>
      </c:catAx>
      <c:valAx>
        <c:axId val="2012673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1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Index Change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delete val="1"/>
          </c:dLbls>
          <c:val>
            <c:numRef>
              <c:f>'Answer3 second part'!$D$18:$P$18</c:f>
              <c:numCache>
                <c:formatCode>General</c:formatCode>
                <c:ptCount val="13"/>
                <c:pt idx="0">
                  <c:v>18.699999999999989</c:v>
                </c:pt>
                <c:pt idx="1">
                  <c:v>-5.0999999999999943</c:v>
                </c:pt>
                <c:pt idx="2">
                  <c:v>2.3999999999999773</c:v>
                </c:pt>
                <c:pt idx="3">
                  <c:v>13.699999999999989</c:v>
                </c:pt>
                <c:pt idx="4">
                  <c:v>-30.900000000000006</c:v>
                </c:pt>
                <c:pt idx="5">
                  <c:v>2.5</c:v>
                </c:pt>
                <c:pt idx="6">
                  <c:v>-21.300000000000011</c:v>
                </c:pt>
                <c:pt idx="7">
                  <c:v>11.299999999999983</c:v>
                </c:pt>
                <c:pt idx="8">
                  <c:v>2.7999999999999972</c:v>
                </c:pt>
                <c:pt idx="9">
                  <c:v>30.900000000000006</c:v>
                </c:pt>
                <c:pt idx="10">
                  <c:v>5.5</c:v>
                </c:pt>
                <c:pt idx="11">
                  <c:v>10.299999999999983</c:v>
                </c:pt>
                <c:pt idx="12">
                  <c:v>4.1999999999999886</c:v>
                </c:pt>
              </c:numCache>
            </c:numRef>
          </c:val>
          <c:smooth val="0"/>
          <c:extLst>
            <c:ext xmlns:c16="http://schemas.microsoft.com/office/drawing/2014/chart" uri="{C3380CC4-5D6E-409C-BE32-E72D297353CC}">
              <c16:uniqueId val="{00000000-1A6A-482D-B9CB-ED1252F88C33}"/>
            </c:ext>
          </c:extLst>
        </c:ser>
        <c:dLbls>
          <c:dLblPos val="ctr"/>
          <c:showLegendKey val="0"/>
          <c:showVal val="1"/>
          <c:showCatName val="0"/>
          <c:showSerName val="0"/>
          <c:showPercent val="0"/>
          <c:showBubbleSize val="0"/>
        </c:dLbls>
        <c:marker val="1"/>
        <c:smooth val="0"/>
        <c:axId val="845744751"/>
        <c:axId val="841960431"/>
      </c:lineChart>
      <c:catAx>
        <c:axId val="8457447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1960431"/>
        <c:crosses val="autoZero"/>
        <c:auto val="1"/>
        <c:lblAlgn val="ctr"/>
        <c:lblOffset val="100"/>
        <c:noMultiLvlLbl val="0"/>
      </c:catAx>
      <c:valAx>
        <c:axId val="84196043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4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Covid Index Jump</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Ref>
              <c:f>'Answer 4 covid 19 effect'!$D$15:$Y$15</c:f>
              <c:numCache>
                <c:formatCode>0.00%</c:formatCode>
                <c:ptCount val="15"/>
                <c:pt idx="0">
                  <c:v>2.2742935906271616E-2</c:v>
                </c:pt>
                <c:pt idx="1">
                  <c:v>0.12035928143712571</c:v>
                </c:pt>
                <c:pt idx="2">
                  <c:v>2.9709655638082415E-2</c:v>
                </c:pt>
                <c:pt idx="3">
                  <c:v>1.3861386138613823E-2</c:v>
                </c:pt>
                <c:pt idx="4">
                  <c:v>5.3353658536585372E-2</c:v>
                </c:pt>
                <c:pt idx="5">
                  <c:v>5.8947368421052672E-2</c:v>
                </c:pt>
                <c:pt idx="6">
                  <c:v>0.18690400508582311</c:v>
                </c:pt>
                <c:pt idx="7">
                  <c:v>6.1658398299078793E-2</c:v>
                </c:pt>
                <c:pt idx="8">
                  <c:v>2.8268551236749141E-2</c:v>
                </c:pt>
                <c:pt idx="9">
                  <c:v>4.6344647519582401E-2</c:v>
                </c:pt>
                <c:pt idx="10">
                  <c:v>4.0234089246525238E-2</c:v>
                </c:pt>
                <c:pt idx="11">
                  <c:v>2.067669172932338E-2</c:v>
                </c:pt>
                <c:pt idx="12">
                  <c:v>6.1114842175956981E-2</c:v>
                </c:pt>
                <c:pt idx="13">
                  <c:v>2.166776099803009E-2</c:v>
                </c:pt>
                <c:pt idx="14">
                  <c:v>7.4672825250192365E-2</c:v>
                </c:pt>
              </c:numCache>
            </c:numRef>
          </c:val>
          <c:smooth val="0"/>
          <c:extLst>
            <c:ext xmlns:c16="http://schemas.microsoft.com/office/drawing/2014/chart" uri="{C3380CC4-5D6E-409C-BE32-E72D297353CC}">
              <c16:uniqueId val="{00000000-B8C0-4359-A8E6-41206A2530D9}"/>
            </c:ext>
          </c:extLst>
        </c:ser>
        <c:dLbls>
          <c:showLegendKey val="0"/>
          <c:showVal val="0"/>
          <c:showCatName val="0"/>
          <c:showSerName val="0"/>
          <c:showPercent val="0"/>
          <c:showBubbleSize val="0"/>
        </c:dLbls>
        <c:marker val="1"/>
        <c:smooth val="0"/>
        <c:axId val="844736575"/>
        <c:axId val="841964271"/>
      </c:lineChart>
      <c:catAx>
        <c:axId val="8447365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1964271"/>
        <c:crosses val="autoZero"/>
        <c:auto val="1"/>
        <c:lblAlgn val="ctr"/>
        <c:lblOffset val="100"/>
        <c:noMultiLvlLbl val="0"/>
      </c:catAx>
      <c:valAx>
        <c:axId val="841964271"/>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73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Covid 19 before and after difference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'Answer 4 covid 19 effect'!$D$16:$Y$16</c:f>
              <c:numCache>
                <c:formatCode>0.00%</c:formatCode>
                <c:ptCount val="15"/>
                <c:pt idx="0">
                  <c:v>1.5863773731263422E-3</c:v>
                </c:pt>
                <c:pt idx="1">
                  <c:v>7.99866106296723E-2</c:v>
                </c:pt>
                <c:pt idx="2">
                  <c:v>-3.4806473394175773E-2</c:v>
                </c:pt>
                <c:pt idx="3">
                  <c:v>-1.7602362151400014E-2</c:v>
                </c:pt>
                <c:pt idx="4">
                  <c:v>-7.1790291147463478E-3</c:v>
                </c:pt>
                <c:pt idx="5">
                  <c:v>0.10083926031294449</c:v>
                </c:pt>
                <c:pt idx="6">
                  <c:v>0.28085304967181046</c:v>
                </c:pt>
                <c:pt idx="7">
                  <c:v>-3.2472620782796613E-3</c:v>
                </c:pt>
                <c:pt idx="8">
                  <c:v>3.1777323166573751E-2</c:v>
                </c:pt>
                <c:pt idx="9">
                  <c:v>9.5262551132934553E-4</c:v>
                </c:pt>
                <c:pt idx="10">
                  <c:v>2.987139494600706E-2</c:v>
                </c:pt>
                <c:pt idx="11">
                  <c:v>7.9459469807555885E-3</c:v>
                </c:pt>
                <c:pt idx="12">
                  <c:v>5.509879939520828E-2</c:v>
                </c:pt>
                <c:pt idx="13">
                  <c:v>6.2728480127557731E-3</c:v>
                </c:pt>
                <c:pt idx="14">
                  <c:v>4.3002199755338727E-2</c:v>
                </c:pt>
              </c:numCache>
            </c:numRef>
          </c:val>
          <c:smooth val="0"/>
          <c:extLst>
            <c:ext xmlns:c16="http://schemas.microsoft.com/office/drawing/2014/chart" uri="{C3380CC4-5D6E-409C-BE32-E72D297353CC}">
              <c16:uniqueId val="{00000000-37DE-40A8-8AFE-EAB66A957FF4}"/>
            </c:ext>
          </c:extLst>
        </c:ser>
        <c:dLbls>
          <c:showLegendKey val="0"/>
          <c:showVal val="0"/>
          <c:showCatName val="0"/>
          <c:showSerName val="0"/>
          <c:showPercent val="0"/>
          <c:showBubbleSize val="0"/>
        </c:dLbls>
        <c:marker val="1"/>
        <c:smooth val="0"/>
        <c:axId val="804253007"/>
        <c:axId val="952505935"/>
      </c:lineChart>
      <c:catAx>
        <c:axId val="80425300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505935"/>
        <c:crosses val="autoZero"/>
        <c:auto val="1"/>
        <c:lblAlgn val="ctr"/>
        <c:lblOffset val="100"/>
        <c:noMultiLvlLbl val="0"/>
      </c:catAx>
      <c:valAx>
        <c:axId val="952505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25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val>
            <c:numRef>
              <c:f>'Answer 5'!$D$65:$AD$65</c:f>
              <c:numCache>
                <c:formatCode>_(* #,##0.00_);_(* \(#,##0.00\);_(* "-"??_);_(@_)</c:formatCode>
                <c:ptCount val="27"/>
                <c:pt idx="0">
                  <c:v>-0.23194548427211534</c:v>
                </c:pt>
                <c:pt idx="1">
                  <c:v>0.40058269971039129</c:v>
                </c:pt>
                <c:pt idx="2">
                  <c:v>-0.23984678892634867</c:v>
                </c:pt>
                <c:pt idx="3">
                  <c:v>-0.25173433753071628</c:v>
                </c:pt>
                <c:pt idx="4">
                  <c:v>0.38416434185184323</c:v>
                </c:pt>
                <c:pt idx="5">
                  <c:v>6.4093893724846251E-2</c:v>
                </c:pt>
                <c:pt idx="6">
                  <c:v>3.330236605344352E-2</c:v>
                </c:pt>
                <c:pt idx="7">
                  <c:v>-0.20794538192447334</c:v>
                </c:pt>
                <c:pt idx="8">
                  <c:v>-0.19226733666801826</c:v>
                </c:pt>
                <c:pt idx="9">
                  <c:v>-0.17340487981717151</c:v>
                </c:pt>
                <c:pt idx="10">
                  <c:v>0.17290165032850457</c:v>
                </c:pt>
                <c:pt idx="11">
                  <c:v>0.10064807977259758</c:v>
                </c:pt>
                <c:pt idx="12">
                  <c:v>9.2071318467154564E-2</c:v>
                </c:pt>
                <c:pt idx="13">
                  <c:v>0.15650985064980394</c:v>
                </c:pt>
                <c:pt idx="14">
                  <c:v>0.11283258499475651</c:v>
                </c:pt>
                <c:pt idx="15">
                  <c:v>0.18409758635351908</c:v>
                </c:pt>
                <c:pt idx="16">
                  <c:v>0.13305959190160677</c:v>
                </c:pt>
                <c:pt idx="17">
                  <c:v>0.1269684979901354</c:v>
                </c:pt>
                <c:pt idx="18">
                  <c:v>0.11348726752560603</c:v>
                </c:pt>
                <c:pt idx="19">
                  <c:v>8.1750634976280323E-3</c:v>
                </c:pt>
                <c:pt idx="20">
                  <c:v>8.4092696023135002E-2</c:v>
                </c:pt>
                <c:pt idx="21">
                  <c:v>0.10625538138853136</c:v>
                </c:pt>
                <c:pt idx="22">
                  <c:v>0.13237131774840946</c:v>
                </c:pt>
                <c:pt idx="23">
                  <c:v>-0.11717248379586857</c:v>
                </c:pt>
                <c:pt idx="24">
                  <c:v>2.6687050688339806E-2</c:v>
                </c:pt>
                <c:pt idx="25">
                  <c:v>9.4241225569045878E-2</c:v>
                </c:pt>
                <c:pt idx="26">
                  <c:v>0.11815233360806152</c:v>
                </c:pt>
              </c:numCache>
            </c:numRef>
          </c:val>
          <c:extLst>
            <c:ext xmlns:c16="http://schemas.microsoft.com/office/drawing/2014/chart" uri="{C3380CC4-5D6E-409C-BE32-E72D297353CC}">
              <c16:uniqueId val="{00000000-E792-41F7-9EB9-F7B727A00AC1}"/>
            </c:ext>
          </c:extLst>
        </c:ser>
        <c:dLbls>
          <c:dLblPos val="inEnd"/>
          <c:showLegendKey val="0"/>
          <c:showVal val="0"/>
          <c:showCatName val="0"/>
          <c:showSerName val="0"/>
          <c:showPercent val="0"/>
          <c:showBubbleSize val="0"/>
        </c:dLbls>
        <c:gapWidth val="315"/>
        <c:overlap val="-40"/>
        <c:axId val="2125443888"/>
        <c:axId val="1974411568"/>
      </c:barChart>
      <c:catAx>
        <c:axId val="21254438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4411568"/>
        <c:crosses val="autoZero"/>
        <c:auto val="1"/>
        <c:lblAlgn val="ctr"/>
        <c:lblOffset val="100"/>
        <c:noMultiLvlLbl val="0"/>
      </c:catAx>
      <c:valAx>
        <c:axId val="1974411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544388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36</xdr:col>
      <xdr:colOff>411480</xdr:colOff>
      <xdr:row>351</xdr:row>
      <xdr:rowOff>15240</xdr:rowOff>
    </xdr:from>
    <xdr:to>
      <xdr:col>43</xdr:col>
      <xdr:colOff>60960</xdr:colOff>
      <xdr:row>367</xdr:row>
      <xdr:rowOff>171450</xdr:rowOff>
    </xdr:to>
    <xdr:graphicFrame macro="">
      <xdr:nvGraphicFramePr>
        <xdr:cNvPr id="3" name="Chart 2">
          <a:extLst>
            <a:ext uri="{FF2B5EF4-FFF2-40B4-BE49-F238E27FC236}">
              <a16:creationId xmlns:a16="http://schemas.microsoft.com/office/drawing/2014/main" id="{47E0A9DA-9435-3600-FBD3-79DEB8C57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5</xdr:row>
      <xdr:rowOff>41910</xdr:rowOff>
    </xdr:from>
    <xdr:to>
      <xdr:col>15</xdr:col>
      <xdr:colOff>228600</xdr:colOff>
      <xdr:row>20</xdr:row>
      <xdr:rowOff>41910</xdr:rowOff>
    </xdr:to>
    <xdr:graphicFrame macro="">
      <xdr:nvGraphicFramePr>
        <xdr:cNvPr id="3" name="Chart 2">
          <a:extLst>
            <a:ext uri="{FF2B5EF4-FFF2-40B4-BE49-F238E27FC236}">
              <a16:creationId xmlns:a16="http://schemas.microsoft.com/office/drawing/2014/main" id="{067B6C6C-7399-0783-48B9-21AB3CC9D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327660</xdr:colOff>
      <xdr:row>16</xdr:row>
      <xdr:rowOff>30480</xdr:rowOff>
    </xdr:from>
    <xdr:to>
      <xdr:col>14</xdr:col>
      <xdr:colOff>129540</xdr:colOff>
      <xdr:row>25</xdr:row>
      <xdr:rowOff>3810</xdr:rowOff>
    </xdr:to>
    <xdr:graphicFrame macro="">
      <xdr:nvGraphicFramePr>
        <xdr:cNvPr id="2" name="Chart 1">
          <a:extLst>
            <a:ext uri="{FF2B5EF4-FFF2-40B4-BE49-F238E27FC236}">
              <a16:creationId xmlns:a16="http://schemas.microsoft.com/office/drawing/2014/main" id="{C4828E7E-66A8-3EC7-CE2F-61A57D6B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541020</xdr:colOff>
      <xdr:row>3</xdr:row>
      <xdr:rowOff>38100</xdr:rowOff>
    </xdr:from>
    <xdr:to>
      <xdr:col>22</xdr:col>
      <xdr:colOff>358140</xdr:colOff>
      <xdr:row>13</xdr:row>
      <xdr:rowOff>80010</xdr:rowOff>
    </xdr:to>
    <xdr:graphicFrame macro="">
      <xdr:nvGraphicFramePr>
        <xdr:cNvPr id="2" name="Chart 1">
          <a:extLst>
            <a:ext uri="{FF2B5EF4-FFF2-40B4-BE49-F238E27FC236}">
              <a16:creationId xmlns:a16="http://schemas.microsoft.com/office/drawing/2014/main" id="{55DCC758-E8E5-5FF5-2C0B-7479161CA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579120</xdr:colOff>
      <xdr:row>17</xdr:row>
      <xdr:rowOff>53340</xdr:rowOff>
    </xdr:from>
    <xdr:to>
      <xdr:col>24</xdr:col>
      <xdr:colOff>396240</xdr:colOff>
      <xdr:row>24</xdr:row>
      <xdr:rowOff>179070</xdr:rowOff>
    </xdr:to>
    <xdr:graphicFrame macro="">
      <xdr:nvGraphicFramePr>
        <xdr:cNvPr id="2" name="Chart 1">
          <a:extLst>
            <a:ext uri="{FF2B5EF4-FFF2-40B4-BE49-F238E27FC236}">
              <a16:creationId xmlns:a16="http://schemas.microsoft.com/office/drawing/2014/main" id="{3D833164-C897-B358-065E-09511F339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198120</xdr:colOff>
      <xdr:row>17</xdr:row>
      <xdr:rowOff>68580</xdr:rowOff>
    </xdr:from>
    <xdr:to>
      <xdr:col>11</xdr:col>
      <xdr:colOff>106680</xdr:colOff>
      <xdr:row>25</xdr:row>
      <xdr:rowOff>19050</xdr:rowOff>
    </xdr:to>
    <xdr:graphicFrame macro="">
      <xdr:nvGraphicFramePr>
        <xdr:cNvPr id="3" name="Chart 2">
          <a:extLst>
            <a:ext uri="{FF2B5EF4-FFF2-40B4-BE49-F238E27FC236}">
              <a16:creationId xmlns:a16="http://schemas.microsoft.com/office/drawing/2014/main" id="{79AB03F8-8928-8F74-7786-FB75FEED1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220980</xdr:colOff>
      <xdr:row>65</xdr:row>
      <xdr:rowOff>121920</xdr:rowOff>
    </xdr:from>
    <xdr:to>
      <xdr:col>25</xdr:col>
      <xdr:colOff>30480</xdr:colOff>
      <xdr:row>83</xdr:row>
      <xdr:rowOff>175260</xdr:rowOff>
    </xdr:to>
    <xdr:graphicFrame macro="">
      <xdr:nvGraphicFramePr>
        <xdr:cNvPr id="5" name="Chart 4">
          <a:extLst>
            <a:ext uri="{FF2B5EF4-FFF2-40B4-BE49-F238E27FC236}">
              <a16:creationId xmlns:a16="http://schemas.microsoft.com/office/drawing/2014/main" id="{ABCB48A2-4B52-92D2-C7AD-D8C1487E8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FCFA-07D7-433A-A28D-1E0D5AABF599}">
  <dimension ref="A1:A59"/>
  <sheetViews>
    <sheetView tabSelected="1" topLeftCell="A35" zoomScaleNormal="100" workbookViewId="0">
      <selection activeCell="A55" sqref="A55"/>
    </sheetView>
  </sheetViews>
  <sheetFormatPr defaultRowHeight="14.4" x14ac:dyDescent="0.3"/>
  <cols>
    <col min="1" max="1" width="206.6640625"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156</v>
      </c>
    </row>
    <row r="9" spans="1:1" x14ac:dyDescent="0.3">
      <c r="A9" t="s">
        <v>157</v>
      </c>
    </row>
    <row r="10" spans="1:1" x14ac:dyDescent="0.3">
      <c r="A10" t="s">
        <v>7</v>
      </c>
    </row>
    <row r="11" spans="1:1" x14ac:dyDescent="0.3">
      <c r="A11" t="s">
        <v>165</v>
      </c>
    </row>
    <row r="13" spans="1:1" x14ac:dyDescent="0.3">
      <c r="A13" t="s">
        <v>8</v>
      </c>
    </row>
    <row r="15" spans="1:1" x14ac:dyDescent="0.3">
      <c r="A15" t="s">
        <v>9</v>
      </c>
    </row>
    <row r="16" spans="1:1" x14ac:dyDescent="0.3">
      <c r="A16" t="s">
        <v>10</v>
      </c>
    </row>
    <row r="17" spans="1:1" x14ac:dyDescent="0.3">
      <c r="A17" t="s">
        <v>11</v>
      </c>
    </row>
    <row r="18" spans="1:1" x14ac:dyDescent="0.3">
      <c r="A18" t="s">
        <v>12</v>
      </c>
    </row>
    <row r="19" spans="1:1" x14ac:dyDescent="0.3">
      <c r="A19" t="s">
        <v>13</v>
      </c>
    </row>
    <row r="20" spans="1:1" x14ac:dyDescent="0.3">
      <c r="A20" t="s">
        <v>14</v>
      </c>
    </row>
    <row r="21" spans="1:1" x14ac:dyDescent="0.3">
      <c r="A21" t="s">
        <v>15</v>
      </c>
    </row>
    <row r="23" spans="1:1" x14ac:dyDescent="0.3">
      <c r="A23" t="s">
        <v>16</v>
      </c>
    </row>
    <row r="24" spans="1:1" x14ac:dyDescent="0.3">
      <c r="A24" t="s">
        <v>17</v>
      </c>
    </row>
    <row r="25" spans="1:1" x14ac:dyDescent="0.3">
      <c r="A25" t="s">
        <v>18</v>
      </c>
    </row>
    <row r="26" spans="1:1" x14ac:dyDescent="0.3">
      <c r="A26" t="s">
        <v>19</v>
      </c>
    </row>
    <row r="28" spans="1:1" x14ac:dyDescent="0.3">
      <c r="A28" t="s">
        <v>148</v>
      </c>
    </row>
    <row r="29" spans="1:1" x14ac:dyDescent="0.3">
      <c r="A29" t="s">
        <v>151</v>
      </c>
    </row>
    <row r="30" spans="1:1" x14ac:dyDescent="0.3">
      <c r="A30" t="s">
        <v>152</v>
      </c>
    </row>
    <row r="31" spans="1:1" x14ac:dyDescent="0.3">
      <c r="A31" t="s">
        <v>153</v>
      </c>
    </row>
    <row r="32" spans="1:1" x14ac:dyDescent="0.3">
      <c r="A32" t="s">
        <v>154</v>
      </c>
    </row>
    <row r="34" spans="1:1" x14ac:dyDescent="0.3">
      <c r="A34" t="s">
        <v>155</v>
      </c>
    </row>
    <row r="35" spans="1:1" x14ac:dyDescent="0.3">
      <c r="A35" t="s">
        <v>159</v>
      </c>
    </row>
    <row r="36" spans="1:1" x14ac:dyDescent="0.3">
      <c r="A36" t="s">
        <v>174</v>
      </c>
    </row>
    <row r="38" spans="1:1" x14ac:dyDescent="0.3">
      <c r="A38" t="s">
        <v>160</v>
      </c>
    </row>
    <row r="39" spans="1:1" x14ac:dyDescent="0.3">
      <c r="A39" t="s">
        <v>164</v>
      </c>
    </row>
    <row r="40" spans="1:1" x14ac:dyDescent="0.3">
      <c r="A40" t="s">
        <v>175</v>
      </c>
    </row>
    <row r="43" spans="1:1" x14ac:dyDescent="0.3">
      <c r="A43" t="s">
        <v>176</v>
      </c>
    </row>
    <row r="44" spans="1:1" x14ac:dyDescent="0.3">
      <c r="A44" t="s">
        <v>177</v>
      </c>
    </row>
    <row r="46" spans="1:1" x14ac:dyDescent="0.3">
      <c r="A46" t="s">
        <v>168</v>
      </c>
    </row>
    <row r="47" spans="1:1" x14ac:dyDescent="0.3">
      <c r="A47" t="s">
        <v>169</v>
      </c>
    </row>
    <row r="48" spans="1:1" x14ac:dyDescent="0.3">
      <c r="A48" t="s">
        <v>170</v>
      </c>
    </row>
    <row r="49" spans="1:1" x14ac:dyDescent="0.3">
      <c r="A49" t="s">
        <v>171</v>
      </c>
    </row>
    <row r="50" spans="1:1" x14ac:dyDescent="0.3">
      <c r="A50" t="s">
        <v>172</v>
      </c>
    </row>
    <row r="53" spans="1:1" x14ac:dyDescent="0.3">
      <c r="A53" t="s">
        <v>173</v>
      </c>
    </row>
    <row r="55" spans="1:1" x14ac:dyDescent="0.3">
      <c r="A55" t="s">
        <v>179</v>
      </c>
    </row>
    <row r="59" spans="1:1" x14ac:dyDescent="0.3">
      <c r="A59" t="s">
        <v>167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032ED-6CB1-4E41-B346-52C2454BB955}">
  <dimension ref="A1:AD373"/>
  <sheetViews>
    <sheetView topLeftCell="L1" workbookViewId="0">
      <selection activeCell="Z1" sqref="Z1:Z1048576"/>
    </sheetView>
  </sheetViews>
  <sheetFormatPr defaultRowHeight="14.4" x14ac:dyDescent="0.3"/>
  <sheetData>
    <row r="1" spans="1:30" x14ac:dyDescent="0.3">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49</v>
      </c>
    </row>
    <row r="2" spans="1:30" x14ac:dyDescent="0.3">
      <c r="A2" t="s">
        <v>50</v>
      </c>
      <c r="B2">
        <v>2013</v>
      </c>
      <c r="C2" t="s">
        <v>51</v>
      </c>
      <c r="D2">
        <v>107.5</v>
      </c>
      <c r="E2">
        <v>106.3</v>
      </c>
      <c r="F2">
        <v>108.1</v>
      </c>
      <c r="G2">
        <v>104.9</v>
      </c>
      <c r="H2">
        <v>106.1</v>
      </c>
      <c r="I2">
        <v>103.9</v>
      </c>
      <c r="J2">
        <v>101.9</v>
      </c>
      <c r="K2">
        <v>106.1</v>
      </c>
      <c r="L2">
        <v>106.8</v>
      </c>
      <c r="M2">
        <v>103.1</v>
      </c>
      <c r="N2">
        <v>104.8</v>
      </c>
      <c r="O2">
        <v>106.7</v>
      </c>
      <c r="P2">
        <v>105.5</v>
      </c>
      <c r="Q2">
        <v>105.1</v>
      </c>
      <c r="R2">
        <v>106.5</v>
      </c>
      <c r="S2">
        <v>105.8</v>
      </c>
      <c r="T2">
        <v>106.4</v>
      </c>
      <c r="U2" t="s">
        <v>52</v>
      </c>
      <c r="V2">
        <v>105.5</v>
      </c>
      <c r="W2">
        <v>104.8</v>
      </c>
      <c r="X2">
        <v>104</v>
      </c>
      <c r="Y2">
        <v>103.3</v>
      </c>
      <c r="Z2">
        <v>103.4</v>
      </c>
      <c r="AA2">
        <v>103.8</v>
      </c>
      <c r="AB2">
        <v>104.7</v>
      </c>
      <c r="AC2">
        <v>104</v>
      </c>
      <c r="AD2">
        <v>105.1</v>
      </c>
    </row>
    <row r="3" spans="1:30" x14ac:dyDescent="0.3">
      <c r="A3" t="s">
        <v>53</v>
      </c>
      <c r="B3">
        <v>2013</v>
      </c>
      <c r="C3" t="s">
        <v>51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54</v>
      </c>
      <c r="B4">
        <v>2013</v>
      </c>
      <c r="C4" t="s">
        <v>51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50</v>
      </c>
      <c r="B5">
        <v>2013</v>
      </c>
      <c r="C5" t="s">
        <v>55</v>
      </c>
      <c r="D5">
        <v>109.2</v>
      </c>
      <c r="E5">
        <v>108.7</v>
      </c>
      <c r="F5">
        <v>110.2</v>
      </c>
      <c r="G5">
        <v>105.4</v>
      </c>
      <c r="H5">
        <v>106.7</v>
      </c>
      <c r="I5">
        <v>104</v>
      </c>
      <c r="J5">
        <v>102.4</v>
      </c>
      <c r="K5">
        <v>105.9</v>
      </c>
      <c r="L5">
        <v>105.7</v>
      </c>
      <c r="M5">
        <v>103.1</v>
      </c>
      <c r="N5">
        <v>105.1</v>
      </c>
      <c r="O5">
        <v>107.7</v>
      </c>
      <c r="P5">
        <v>106.3</v>
      </c>
      <c r="Q5">
        <v>105.6</v>
      </c>
      <c r="R5">
        <v>107.1</v>
      </c>
      <c r="S5">
        <v>106.3</v>
      </c>
      <c r="T5">
        <v>107</v>
      </c>
      <c r="U5" t="s">
        <v>52</v>
      </c>
      <c r="V5">
        <v>106.2</v>
      </c>
      <c r="W5">
        <v>105.2</v>
      </c>
      <c r="X5">
        <v>104.4</v>
      </c>
      <c r="Y5">
        <v>103.9</v>
      </c>
      <c r="Z5">
        <v>104</v>
      </c>
      <c r="AA5">
        <v>104.1</v>
      </c>
      <c r="AB5">
        <v>104.6</v>
      </c>
      <c r="AC5">
        <v>104.4</v>
      </c>
      <c r="AD5">
        <v>105.8</v>
      </c>
    </row>
    <row r="6" spans="1:30" x14ac:dyDescent="0.3">
      <c r="A6" t="s">
        <v>53</v>
      </c>
      <c r="B6">
        <v>2013</v>
      </c>
      <c r="C6" t="s">
        <v>55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54</v>
      </c>
      <c r="B7">
        <v>2013</v>
      </c>
      <c r="C7" t="s">
        <v>55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50</v>
      </c>
      <c r="B8">
        <v>2013</v>
      </c>
      <c r="C8" t="s">
        <v>56</v>
      </c>
      <c r="D8">
        <v>110.2</v>
      </c>
      <c r="E8">
        <v>108.8</v>
      </c>
      <c r="F8">
        <v>109.9</v>
      </c>
      <c r="G8">
        <v>105.6</v>
      </c>
      <c r="H8">
        <v>106.2</v>
      </c>
      <c r="I8">
        <v>105.7</v>
      </c>
      <c r="J8">
        <v>101.4</v>
      </c>
      <c r="K8">
        <v>105.7</v>
      </c>
      <c r="L8">
        <v>105</v>
      </c>
      <c r="M8">
        <v>103.3</v>
      </c>
      <c r="N8">
        <v>105.6</v>
      </c>
      <c r="O8">
        <v>108.2</v>
      </c>
      <c r="P8">
        <v>106.6</v>
      </c>
      <c r="Q8">
        <v>106.5</v>
      </c>
      <c r="R8">
        <v>107.6</v>
      </c>
      <c r="S8">
        <v>106.8</v>
      </c>
      <c r="T8">
        <v>107.5</v>
      </c>
      <c r="U8" t="s">
        <v>52</v>
      </c>
      <c r="V8">
        <v>106.1</v>
      </c>
      <c r="W8">
        <v>105.6</v>
      </c>
      <c r="X8">
        <v>104.7</v>
      </c>
      <c r="Y8">
        <v>104.6</v>
      </c>
      <c r="Z8">
        <v>104</v>
      </c>
      <c r="AA8">
        <v>104.3</v>
      </c>
      <c r="AB8">
        <v>104.3</v>
      </c>
      <c r="AC8">
        <v>104.6</v>
      </c>
      <c r="AD8">
        <v>106</v>
      </c>
    </row>
    <row r="9" spans="1:30" x14ac:dyDescent="0.3">
      <c r="A9" t="s">
        <v>53</v>
      </c>
      <c r="B9">
        <v>2013</v>
      </c>
      <c r="C9" t="s">
        <v>56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54</v>
      </c>
      <c r="B10">
        <v>2013</v>
      </c>
      <c r="C10" t="s">
        <v>56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50</v>
      </c>
      <c r="B11">
        <v>2013</v>
      </c>
      <c r="C11" t="s">
        <v>57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52</v>
      </c>
      <c r="V11">
        <v>106.5</v>
      </c>
      <c r="W11">
        <v>106.1</v>
      </c>
      <c r="X11">
        <v>105.1</v>
      </c>
      <c r="Y11">
        <v>104.4</v>
      </c>
      <c r="Z11">
        <v>104.5</v>
      </c>
      <c r="AA11">
        <v>104.8</v>
      </c>
      <c r="AB11">
        <v>102.7</v>
      </c>
      <c r="AC11">
        <v>104.6</v>
      </c>
      <c r="AD11">
        <v>106.4</v>
      </c>
    </row>
    <row r="12" spans="1:30" x14ac:dyDescent="0.3">
      <c r="A12" t="s">
        <v>53</v>
      </c>
      <c r="B12">
        <v>2013</v>
      </c>
      <c r="C12" t="s">
        <v>57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54</v>
      </c>
      <c r="B13">
        <v>2013</v>
      </c>
      <c r="C13" t="s">
        <v>57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50</v>
      </c>
      <c r="B14">
        <v>2013</v>
      </c>
      <c r="C14" t="s">
        <v>58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52</v>
      </c>
      <c r="V14">
        <v>107.5</v>
      </c>
      <c r="W14">
        <v>106.8</v>
      </c>
      <c r="X14">
        <v>105.7</v>
      </c>
      <c r="Y14">
        <v>104.1</v>
      </c>
      <c r="Z14">
        <v>105</v>
      </c>
      <c r="AA14">
        <v>105.5</v>
      </c>
      <c r="AB14">
        <v>102.1</v>
      </c>
      <c r="AC14">
        <v>104.8</v>
      </c>
      <c r="AD14">
        <v>107.2</v>
      </c>
    </row>
    <row r="15" spans="1:30" x14ac:dyDescent="0.3">
      <c r="A15" t="s">
        <v>53</v>
      </c>
      <c r="B15">
        <v>2013</v>
      </c>
      <c r="C15" t="s">
        <v>58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54</v>
      </c>
      <c r="B16">
        <v>2013</v>
      </c>
      <c r="C16" t="s">
        <v>58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50</v>
      </c>
      <c r="B17">
        <v>2013</v>
      </c>
      <c r="C17" t="s">
        <v>59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52</v>
      </c>
      <c r="V17">
        <v>108.5</v>
      </c>
      <c r="W17">
        <v>107.5</v>
      </c>
      <c r="X17">
        <v>106.3</v>
      </c>
      <c r="Y17">
        <v>105</v>
      </c>
      <c r="Z17">
        <v>105.6</v>
      </c>
      <c r="AA17">
        <v>106.5</v>
      </c>
      <c r="AB17">
        <v>102.5</v>
      </c>
      <c r="AC17">
        <v>105.5</v>
      </c>
      <c r="AD17">
        <v>108.9</v>
      </c>
    </row>
    <row r="18" spans="1:30" x14ac:dyDescent="0.3">
      <c r="A18" t="s">
        <v>53</v>
      </c>
      <c r="B18">
        <v>2013</v>
      </c>
      <c r="C18" t="s">
        <v>59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54</v>
      </c>
      <c r="B19">
        <v>2013</v>
      </c>
      <c r="C19" t="s">
        <v>59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50</v>
      </c>
      <c r="B20">
        <v>2013</v>
      </c>
      <c r="C20" t="s">
        <v>60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52</v>
      </c>
      <c r="V20">
        <v>109.5</v>
      </c>
      <c r="W20">
        <v>108.3</v>
      </c>
      <c r="X20">
        <v>106.9</v>
      </c>
      <c r="Y20">
        <v>106.8</v>
      </c>
      <c r="Z20">
        <v>106.4</v>
      </c>
      <c r="AA20">
        <v>107.8</v>
      </c>
      <c r="AB20">
        <v>102.5</v>
      </c>
      <c r="AC20">
        <v>106.5</v>
      </c>
      <c r="AD20">
        <v>110.7</v>
      </c>
    </row>
    <row r="21" spans="1:30" x14ac:dyDescent="0.3">
      <c r="A21" t="s">
        <v>53</v>
      </c>
      <c r="B21">
        <v>2013</v>
      </c>
      <c r="C21" t="s">
        <v>60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54</v>
      </c>
      <c r="B22">
        <v>2013</v>
      </c>
      <c r="C22" t="s">
        <v>60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50</v>
      </c>
      <c r="B23">
        <v>2013</v>
      </c>
      <c r="C23" t="s">
        <v>61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52</v>
      </c>
      <c r="V23">
        <v>109.9</v>
      </c>
      <c r="W23">
        <v>108.7</v>
      </c>
      <c r="X23">
        <v>107.5</v>
      </c>
      <c r="Y23">
        <v>107.8</v>
      </c>
      <c r="Z23">
        <v>106.8</v>
      </c>
      <c r="AA23">
        <v>108.7</v>
      </c>
      <c r="AB23">
        <v>105</v>
      </c>
      <c r="AC23">
        <v>107.5</v>
      </c>
      <c r="AD23">
        <v>112.1</v>
      </c>
    </row>
    <row r="24" spans="1:30" x14ac:dyDescent="0.3">
      <c r="A24" t="s">
        <v>53</v>
      </c>
      <c r="B24">
        <v>2013</v>
      </c>
      <c r="C24" t="s">
        <v>61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54</v>
      </c>
      <c r="B25">
        <v>2013</v>
      </c>
      <c r="C25" t="s">
        <v>61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50</v>
      </c>
      <c r="B26">
        <v>2013</v>
      </c>
      <c r="C26" t="s">
        <v>62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52</v>
      </c>
      <c r="V26">
        <v>111.1</v>
      </c>
      <c r="W26">
        <v>109.6</v>
      </c>
      <c r="X26">
        <v>108.3</v>
      </c>
      <c r="Y26">
        <v>109.3</v>
      </c>
      <c r="Z26">
        <v>107.7</v>
      </c>
      <c r="AA26">
        <v>109.8</v>
      </c>
      <c r="AB26">
        <v>106.7</v>
      </c>
      <c r="AC26">
        <v>108.7</v>
      </c>
      <c r="AD26">
        <v>114.2</v>
      </c>
    </row>
    <row r="27" spans="1:30" x14ac:dyDescent="0.3">
      <c r="A27" t="s">
        <v>53</v>
      </c>
      <c r="B27">
        <v>2013</v>
      </c>
      <c r="C27" t="s">
        <v>62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54</v>
      </c>
      <c r="B28">
        <v>2013</v>
      </c>
      <c r="C28" t="s">
        <v>62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50</v>
      </c>
      <c r="B29">
        <v>2013</v>
      </c>
      <c r="C29" t="s">
        <v>63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52</v>
      </c>
      <c r="V29">
        <v>111.6</v>
      </c>
      <c r="W29">
        <v>110.4</v>
      </c>
      <c r="X29">
        <v>108.9</v>
      </c>
      <c r="Y29">
        <v>109.3</v>
      </c>
      <c r="Z29">
        <v>108.3</v>
      </c>
      <c r="AA29">
        <v>110.2</v>
      </c>
      <c r="AB29">
        <v>107.5</v>
      </c>
      <c r="AC29">
        <v>109.1</v>
      </c>
      <c r="AD29">
        <v>115.5</v>
      </c>
    </row>
    <row r="30" spans="1:30" x14ac:dyDescent="0.3">
      <c r="A30" t="s">
        <v>53</v>
      </c>
      <c r="B30">
        <v>2013</v>
      </c>
      <c r="C30" t="s">
        <v>63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54</v>
      </c>
      <c r="B31">
        <v>2013</v>
      </c>
      <c r="C31" t="s">
        <v>63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50</v>
      </c>
      <c r="B32">
        <v>2013</v>
      </c>
      <c r="C32" t="s">
        <v>64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52</v>
      </c>
      <c r="V32">
        <v>112.6</v>
      </c>
      <c r="W32">
        <v>111.3</v>
      </c>
      <c r="X32">
        <v>109.7</v>
      </c>
      <c r="Y32">
        <v>109.6</v>
      </c>
      <c r="Z32">
        <v>108.7</v>
      </c>
      <c r="AA32">
        <v>111</v>
      </c>
      <c r="AB32">
        <v>108.2</v>
      </c>
      <c r="AC32">
        <v>109.8</v>
      </c>
      <c r="AD32">
        <v>117.4</v>
      </c>
    </row>
    <row r="33" spans="1:30" x14ac:dyDescent="0.3">
      <c r="A33" t="s">
        <v>53</v>
      </c>
      <c r="B33">
        <v>2013</v>
      </c>
      <c r="C33" t="s">
        <v>65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54</v>
      </c>
      <c r="B34">
        <v>2013</v>
      </c>
      <c r="C34" t="s">
        <v>65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50</v>
      </c>
      <c r="B35">
        <v>2013</v>
      </c>
      <c r="C35" t="s">
        <v>66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52</v>
      </c>
      <c r="V35">
        <v>112.8</v>
      </c>
      <c r="W35">
        <v>112.1</v>
      </c>
      <c r="X35">
        <v>110.1</v>
      </c>
      <c r="Y35">
        <v>109.9</v>
      </c>
      <c r="Z35">
        <v>109.2</v>
      </c>
      <c r="AA35">
        <v>111.6</v>
      </c>
      <c r="AB35">
        <v>108.1</v>
      </c>
      <c r="AC35">
        <v>110.1</v>
      </c>
      <c r="AD35">
        <v>115.5</v>
      </c>
    </row>
    <row r="36" spans="1:30" x14ac:dyDescent="0.3">
      <c r="A36" t="s">
        <v>53</v>
      </c>
      <c r="B36">
        <v>2013</v>
      </c>
      <c r="C36" t="s">
        <v>66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54</v>
      </c>
      <c r="B37">
        <v>2013</v>
      </c>
      <c r="C37" t="s">
        <v>66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50</v>
      </c>
      <c r="B38">
        <v>2014</v>
      </c>
      <c r="C38" t="s">
        <v>51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52</v>
      </c>
      <c r="V38">
        <v>113</v>
      </c>
      <c r="W38">
        <v>112.6</v>
      </c>
      <c r="X38">
        <v>110.6</v>
      </c>
      <c r="Y38">
        <v>110.5</v>
      </c>
      <c r="Z38">
        <v>109.6</v>
      </c>
      <c r="AA38">
        <v>111.8</v>
      </c>
      <c r="AB38">
        <v>108.3</v>
      </c>
      <c r="AC38">
        <v>110.6</v>
      </c>
      <c r="AD38">
        <v>114.2</v>
      </c>
    </row>
    <row r="39" spans="1:30" x14ac:dyDescent="0.3">
      <c r="A39" t="s">
        <v>53</v>
      </c>
      <c r="B39">
        <v>2014</v>
      </c>
      <c r="C39" t="s">
        <v>51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54</v>
      </c>
      <c r="B40">
        <v>2014</v>
      </c>
      <c r="C40" t="s">
        <v>51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50</v>
      </c>
      <c r="B41">
        <v>2014</v>
      </c>
      <c r="C41" t="s">
        <v>55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52</v>
      </c>
      <c r="V41">
        <v>113.2</v>
      </c>
      <c r="W41">
        <v>112.9</v>
      </c>
      <c r="X41">
        <v>110.9</v>
      </c>
      <c r="Y41">
        <v>110.8</v>
      </c>
      <c r="Z41">
        <v>109.9</v>
      </c>
      <c r="AA41">
        <v>112</v>
      </c>
      <c r="AB41">
        <v>108.7</v>
      </c>
      <c r="AC41">
        <v>110.9</v>
      </c>
      <c r="AD41">
        <v>114</v>
      </c>
    </row>
    <row r="42" spans="1:30" x14ac:dyDescent="0.3">
      <c r="A42" t="s">
        <v>53</v>
      </c>
      <c r="B42">
        <v>2014</v>
      </c>
      <c r="C42" t="s">
        <v>55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54</v>
      </c>
      <c r="B43">
        <v>2014</v>
      </c>
      <c r="C43" t="s">
        <v>55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50</v>
      </c>
      <c r="B44">
        <v>2014</v>
      </c>
      <c r="C44" t="s">
        <v>56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52</v>
      </c>
      <c r="V44">
        <v>113.4</v>
      </c>
      <c r="W44">
        <v>113.4</v>
      </c>
      <c r="X44">
        <v>111.4</v>
      </c>
      <c r="Y44">
        <v>111.2</v>
      </c>
      <c r="Z44">
        <v>110.2</v>
      </c>
      <c r="AA44">
        <v>112.4</v>
      </c>
      <c r="AB44">
        <v>108.9</v>
      </c>
      <c r="AC44">
        <v>111.3</v>
      </c>
      <c r="AD44">
        <v>114.6</v>
      </c>
    </row>
    <row r="45" spans="1:30" x14ac:dyDescent="0.3">
      <c r="A45" t="s">
        <v>53</v>
      </c>
      <c r="B45">
        <v>2014</v>
      </c>
      <c r="C45" t="s">
        <v>56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54</v>
      </c>
      <c r="B46">
        <v>2014</v>
      </c>
      <c r="C46" t="s">
        <v>67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50</v>
      </c>
      <c r="B47">
        <v>2014</v>
      </c>
      <c r="C47" t="s">
        <v>57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52</v>
      </c>
      <c r="V47">
        <v>113.4</v>
      </c>
      <c r="W47">
        <v>113.7</v>
      </c>
      <c r="X47">
        <v>111.8</v>
      </c>
      <c r="Y47">
        <v>111.2</v>
      </c>
      <c r="Z47">
        <v>110.5</v>
      </c>
      <c r="AA47">
        <v>113</v>
      </c>
      <c r="AB47">
        <v>108.9</v>
      </c>
      <c r="AC47">
        <v>111.5</v>
      </c>
      <c r="AD47">
        <v>115.4</v>
      </c>
    </row>
    <row r="48" spans="1:30" x14ac:dyDescent="0.3">
      <c r="A48" t="s">
        <v>53</v>
      </c>
      <c r="B48">
        <v>2014</v>
      </c>
      <c r="C48" t="s">
        <v>57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54</v>
      </c>
      <c r="B49">
        <v>2014</v>
      </c>
      <c r="C49" t="s">
        <v>57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50</v>
      </c>
      <c r="B50">
        <v>2014</v>
      </c>
      <c r="C50" t="s">
        <v>58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52</v>
      </c>
      <c r="V50">
        <v>113.4</v>
      </c>
      <c r="W50">
        <v>114.1</v>
      </c>
      <c r="X50">
        <v>112.1</v>
      </c>
      <c r="Y50">
        <v>111.4</v>
      </c>
      <c r="Z50">
        <v>110.9</v>
      </c>
      <c r="AA50">
        <v>113.1</v>
      </c>
      <c r="AB50">
        <v>108.9</v>
      </c>
      <c r="AC50">
        <v>111.8</v>
      </c>
      <c r="AD50">
        <v>116</v>
      </c>
    </row>
    <row r="51" spans="1:30" x14ac:dyDescent="0.3">
      <c r="A51" t="s">
        <v>53</v>
      </c>
      <c r="B51">
        <v>2014</v>
      </c>
      <c r="C51" t="s">
        <v>58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54</v>
      </c>
      <c r="B52">
        <v>2014</v>
      </c>
      <c r="C52" t="s">
        <v>58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50</v>
      </c>
      <c r="B53">
        <v>2014</v>
      </c>
      <c r="C53" t="s">
        <v>59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52</v>
      </c>
      <c r="V53">
        <v>114.4</v>
      </c>
      <c r="W53">
        <v>114.9</v>
      </c>
      <c r="X53">
        <v>112.8</v>
      </c>
      <c r="Y53">
        <v>112.2</v>
      </c>
      <c r="Z53">
        <v>111.4</v>
      </c>
      <c r="AA53">
        <v>114.3</v>
      </c>
      <c r="AB53">
        <v>108</v>
      </c>
      <c r="AC53">
        <v>112.3</v>
      </c>
      <c r="AD53">
        <v>117</v>
      </c>
    </row>
    <row r="54" spans="1:30" x14ac:dyDescent="0.3">
      <c r="A54" t="s">
        <v>53</v>
      </c>
      <c r="B54">
        <v>2014</v>
      </c>
      <c r="C54" t="s">
        <v>59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54</v>
      </c>
      <c r="B55">
        <v>2014</v>
      </c>
      <c r="C55" t="s">
        <v>59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50</v>
      </c>
      <c r="B56">
        <v>2014</v>
      </c>
      <c r="C56" t="s">
        <v>60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52</v>
      </c>
      <c r="V56">
        <v>115.3</v>
      </c>
      <c r="W56">
        <v>115.4</v>
      </c>
      <c r="X56">
        <v>113.4</v>
      </c>
      <c r="Y56">
        <v>113.2</v>
      </c>
      <c r="Z56">
        <v>111.8</v>
      </c>
      <c r="AA56">
        <v>115.5</v>
      </c>
      <c r="AB56">
        <v>108.8</v>
      </c>
      <c r="AC56">
        <v>113.1</v>
      </c>
      <c r="AD56">
        <v>119.5</v>
      </c>
    </row>
    <row r="57" spans="1:30" x14ac:dyDescent="0.3">
      <c r="A57" t="s">
        <v>53</v>
      </c>
      <c r="B57">
        <v>2014</v>
      </c>
      <c r="C57" t="s">
        <v>60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54</v>
      </c>
      <c r="B58">
        <v>2014</v>
      </c>
      <c r="C58" t="s">
        <v>60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50</v>
      </c>
      <c r="B59">
        <v>2014</v>
      </c>
      <c r="C59" t="s">
        <v>61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52</v>
      </c>
      <c r="V59">
        <v>115.4</v>
      </c>
      <c r="W59">
        <v>115.9</v>
      </c>
      <c r="X59">
        <v>114</v>
      </c>
      <c r="Y59">
        <v>113.2</v>
      </c>
      <c r="Z59">
        <v>112.2</v>
      </c>
      <c r="AA59">
        <v>116.2</v>
      </c>
      <c r="AB59">
        <v>109.4</v>
      </c>
      <c r="AC59">
        <v>113.5</v>
      </c>
      <c r="AD59">
        <v>120.7</v>
      </c>
    </row>
    <row r="60" spans="1:30" x14ac:dyDescent="0.3">
      <c r="A60" t="s">
        <v>53</v>
      </c>
      <c r="B60">
        <v>2014</v>
      </c>
      <c r="C60" t="s">
        <v>61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54</v>
      </c>
      <c r="B61">
        <v>2014</v>
      </c>
      <c r="C61" t="s">
        <v>61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50</v>
      </c>
      <c r="B62">
        <v>2014</v>
      </c>
      <c r="C62" t="s">
        <v>62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52</v>
      </c>
      <c r="V62">
        <v>115.8</v>
      </c>
      <c r="W62">
        <v>116.7</v>
      </c>
      <c r="X62">
        <v>114.5</v>
      </c>
      <c r="Y62">
        <v>112.8</v>
      </c>
      <c r="Z62">
        <v>112.6</v>
      </c>
      <c r="AA62">
        <v>116.6</v>
      </c>
      <c r="AB62">
        <v>109.1</v>
      </c>
      <c r="AC62">
        <v>113.7</v>
      </c>
      <c r="AD62">
        <v>120.9</v>
      </c>
    </row>
    <row r="63" spans="1:30" x14ac:dyDescent="0.3">
      <c r="A63" t="s">
        <v>53</v>
      </c>
      <c r="B63">
        <v>2014</v>
      </c>
      <c r="C63" t="s">
        <v>62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54</v>
      </c>
      <c r="B64">
        <v>2014</v>
      </c>
      <c r="C64" t="s">
        <v>62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50</v>
      </c>
      <c r="B65">
        <v>2014</v>
      </c>
      <c r="C65" t="s">
        <v>63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52</v>
      </c>
      <c r="V65">
        <v>116.4</v>
      </c>
      <c r="W65">
        <v>117.5</v>
      </c>
      <c r="X65">
        <v>115.3</v>
      </c>
      <c r="Y65">
        <v>112.6</v>
      </c>
      <c r="Z65">
        <v>113</v>
      </c>
      <c r="AA65">
        <v>116.9</v>
      </c>
      <c r="AB65">
        <v>109.3</v>
      </c>
      <c r="AC65">
        <v>114</v>
      </c>
      <c r="AD65">
        <v>121</v>
      </c>
    </row>
    <row r="66" spans="1:30" x14ac:dyDescent="0.3">
      <c r="A66" t="s">
        <v>53</v>
      </c>
      <c r="B66">
        <v>2014</v>
      </c>
      <c r="C66" t="s">
        <v>63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54</v>
      </c>
      <c r="B67">
        <v>2014</v>
      </c>
      <c r="C67" t="s">
        <v>63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50</v>
      </c>
      <c r="B68">
        <v>2014</v>
      </c>
      <c r="C68" t="s">
        <v>65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52</v>
      </c>
      <c r="V68">
        <v>117.3</v>
      </c>
      <c r="W68">
        <v>118.1</v>
      </c>
      <c r="X68">
        <v>115.9</v>
      </c>
      <c r="Y68">
        <v>112</v>
      </c>
      <c r="Z68">
        <v>113.3</v>
      </c>
      <c r="AA68">
        <v>117.2</v>
      </c>
      <c r="AB68">
        <v>108.8</v>
      </c>
      <c r="AC68">
        <v>114.1</v>
      </c>
      <c r="AD68">
        <v>121.1</v>
      </c>
    </row>
    <row r="69" spans="1:30" x14ac:dyDescent="0.3">
      <c r="A69" t="s">
        <v>53</v>
      </c>
      <c r="B69">
        <v>2014</v>
      </c>
      <c r="C69" t="s">
        <v>65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54</v>
      </c>
      <c r="B70">
        <v>2014</v>
      </c>
      <c r="C70" t="s">
        <v>65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50</v>
      </c>
      <c r="B71">
        <v>2014</v>
      </c>
      <c r="C71" t="s">
        <v>66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52</v>
      </c>
      <c r="V71">
        <v>117.4</v>
      </c>
      <c r="W71">
        <v>118.2</v>
      </c>
      <c r="X71">
        <v>116.2</v>
      </c>
      <c r="Y71">
        <v>111.5</v>
      </c>
      <c r="Z71">
        <v>113.3</v>
      </c>
      <c r="AA71">
        <v>117.7</v>
      </c>
      <c r="AB71">
        <v>109.4</v>
      </c>
      <c r="AC71">
        <v>114.2</v>
      </c>
      <c r="AD71">
        <v>120.3</v>
      </c>
    </row>
    <row r="72" spans="1:30" x14ac:dyDescent="0.3">
      <c r="A72" t="s">
        <v>53</v>
      </c>
      <c r="B72">
        <v>2014</v>
      </c>
      <c r="C72" t="s">
        <v>66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54</v>
      </c>
      <c r="B73">
        <v>2014</v>
      </c>
      <c r="C73" t="s">
        <v>66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50</v>
      </c>
      <c r="B74">
        <v>2015</v>
      </c>
      <c r="C74" t="s">
        <v>51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52</v>
      </c>
      <c r="V74">
        <v>118.4</v>
      </c>
      <c r="W74">
        <v>118.9</v>
      </c>
      <c r="X74">
        <v>116.6</v>
      </c>
      <c r="Y74">
        <v>111</v>
      </c>
      <c r="Z74">
        <v>114</v>
      </c>
      <c r="AA74">
        <v>118.2</v>
      </c>
      <c r="AB74">
        <v>110.2</v>
      </c>
      <c r="AC74">
        <v>114.5</v>
      </c>
      <c r="AD74">
        <v>120.3</v>
      </c>
    </row>
    <row r="75" spans="1:30" x14ac:dyDescent="0.3">
      <c r="A75" t="s">
        <v>53</v>
      </c>
      <c r="B75">
        <v>2015</v>
      </c>
      <c r="C75" t="s">
        <v>51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54</v>
      </c>
      <c r="B76">
        <v>2015</v>
      </c>
      <c r="C76" t="s">
        <v>51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50</v>
      </c>
      <c r="B77">
        <v>2015</v>
      </c>
      <c r="C77" t="s">
        <v>55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52</v>
      </c>
      <c r="V77">
        <v>120</v>
      </c>
      <c r="W77">
        <v>119.6</v>
      </c>
      <c r="X77">
        <v>117.7</v>
      </c>
      <c r="Y77">
        <v>110.9</v>
      </c>
      <c r="Z77">
        <v>114.8</v>
      </c>
      <c r="AA77">
        <v>118.7</v>
      </c>
      <c r="AB77">
        <v>110.8</v>
      </c>
      <c r="AC77">
        <v>115</v>
      </c>
      <c r="AD77">
        <v>120.6</v>
      </c>
    </row>
    <row r="78" spans="1:30" x14ac:dyDescent="0.3">
      <c r="A78" t="s">
        <v>53</v>
      </c>
      <c r="B78">
        <v>2015</v>
      </c>
      <c r="C78" t="s">
        <v>55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54</v>
      </c>
      <c r="B79">
        <v>2015</v>
      </c>
      <c r="C79" t="s">
        <v>55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50</v>
      </c>
      <c r="B80">
        <v>2015</v>
      </c>
      <c r="C80" t="s">
        <v>56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52</v>
      </c>
      <c r="V80">
        <v>120.6</v>
      </c>
      <c r="W80">
        <v>120.2</v>
      </c>
      <c r="X80">
        <v>118.2</v>
      </c>
      <c r="Y80">
        <v>111.6</v>
      </c>
      <c r="Z80">
        <v>115.5</v>
      </c>
      <c r="AA80">
        <v>119.4</v>
      </c>
      <c r="AB80">
        <v>110.8</v>
      </c>
      <c r="AC80">
        <v>115.5</v>
      </c>
      <c r="AD80">
        <v>121.1</v>
      </c>
    </row>
    <row r="81" spans="1:30" x14ac:dyDescent="0.3">
      <c r="A81" t="s">
        <v>53</v>
      </c>
      <c r="B81">
        <v>2015</v>
      </c>
      <c r="C81" t="s">
        <v>56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54</v>
      </c>
      <c r="B82">
        <v>2015</v>
      </c>
      <c r="C82" t="s">
        <v>56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50</v>
      </c>
      <c r="B83">
        <v>2015</v>
      </c>
      <c r="C83" t="s">
        <v>57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52</v>
      </c>
      <c r="V83">
        <v>121.2</v>
      </c>
      <c r="W83">
        <v>120.9</v>
      </c>
      <c r="X83">
        <v>118.6</v>
      </c>
      <c r="Y83">
        <v>111.9</v>
      </c>
      <c r="Z83">
        <v>116.2</v>
      </c>
      <c r="AA83">
        <v>119.9</v>
      </c>
      <c r="AB83">
        <v>111.6</v>
      </c>
      <c r="AC83">
        <v>116</v>
      </c>
      <c r="AD83">
        <v>121.5</v>
      </c>
    </row>
    <row r="84" spans="1:30" x14ac:dyDescent="0.3">
      <c r="A84" t="s">
        <v>53</v>
      </c>
      <c r="B84">
        <v>2015</v>
      </c>
      <c r="C84" t="s">
        <v>57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54</v>
      </c>
      <c r="B85">
        <v>2015</v>
      </c>
      <c r="C85" t="s">
        <v>57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50</v>
      </c>
      <c r="B86">
        <v>2015</v>
      </c>
      <c r="C86" t="s">
        <v>58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52</v>
      </c>
      <c r="V86">
        <v>121.9</v>
      </c>
      <c r="W86">
        <v>121.5</v>
      </c>
      <c r="X86">
        <v>119.4</v>
      </c>
      <c r="Y86">
        <v>113.3</v>
      </c>
      <c r="Z86">
        <v>116.7</v>
      </c>
      <c r="AA86">
        <v>120.5</v>
      </c>
      <c r="AB86">
        <v>112.3</v>
      </c>
      <c r="AC86">
        <v>116.9</v>
      </c>
      <c r="AD86">
        <v>122.4</v>
      </c>
    </row>
    <row r="87" spans="1:30" x14ac:dyDescent="0.3">
      <c r="A87" t="s">
        <v>53</v>
      </c>
      <c r="B87">
        <v>2015</v>
      </c>
      <c r="C87" t="s">
        <v>58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54</v>
      </c>
      <c r="B88">
        <v>2015</v>
      </c>
      <c r="C88" t="s">
        <v>58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50</v>
      </c>
      <c r="B89">
        <v>2015</v>
      </c>
      <c r="C89" t="s">
        <v>59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52</v>
      </c>
      <c r="V89">
        <v>122.6</v>
      </c>
      <c r="W89">
        <v>122.8</v>
      </c>
      <c r="X89">
        <v>120.4</v>
      </c>
      <c r="Y89">
        <v>114.2</v>
      </c>
      <c r="Z89">
        <v>117.9</v>
      </c>
      <c r="AA89">
        <v>122</v>
      </c>
      <c r="AB89">
        <v>113</v>
      </c>
      <c r="AC89">
        <v>117.9</v>
      </c>
      <c r="AD89">
        <v>124.1</v>
      </c>
    </row>
    <row r="90" spans="1:30" x14ac:dyDescent="0.3">
      <c r="A90" t="s">
        <v>53</v>
      </c>
      <c r="B90">
        <v>2015</v>
      </c>
      <c r="C90" t="s">
        <v>59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54</v>
      </c>
      <c r="B91">
        <v>2015</v>
      </c>
      <c r="C91" t="s">
        <v>59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50</v>
      </c>
      <c r="B92">
        <v>2015</v>
      </c>
      <c r="C92" t="s">
        <v>60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52</v>
      </c>
      <c r="V92">
        <v>123</v>
      </c>
      <c r="W92">
        <v>123</v>
      </c>
      <c r="X92">
        <v>120.8</v>
      </c>
      <c r="Y92">
        <v>114.1</v>
      </c>
      <c r="Z92">
        <v>118</v>
      </c>
      <c r="AA92">
        <v>122.9</v>
      </c>
      <c r="AB92">
        <v>112.7</v>
      </c>
      <c r="AC92">
        <v>118.1</v>
      </c>
      <c r="AD92">
        <v>124.7</v>
      </c>
    </row>
    <row r="93" spans="1:30" x14ac:dyDescent="0.3">
      <c r="A93" t="s">
        <v>53</v>
      </c>
      <c r="B93">
        <v>2015</v>
      </c>
      <c r="C93" t="s">
        <v>60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54</v>
      </c>
      <c r="B94">
        <v>2015</v>
      </c>
      <c r="C94" t="s">
        <v>60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50</v>
      </c>
      <c r="B95">
        <v>2015</v>
      </c>
      <c r="C95" t="s">
        <v>61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52</v>
      </c>
      <c r="V95">
        <v>123.8</v>
      </c>
      <c r="W95">
        <v>123.7</v>
      </c>
      <c r="X95">
        <v>121.1</v>
      </c>
      <c r="Y95">
        <v>113.6</v>
      </c>
      <c r="Z95">
        <v>118.5</v>
      </c>
      <c r="AA95">
        <v>123.6</v>
      </c>
      <c r="AB95">
        <v>112.5</v>
      </c>
      <c r="AC95">
        <v>118.2</v>
      </c>
      <c r="AD95">
        <v>126.1</v>
      </c>
    </row>
    <row r="96" spans="1:30" x14ac:dyDescent="0.3">
      <c r="A96" t="s">
        <v>53</v>
      </c>
      <c r="B96">
        <v>2015</v>
      </c>
      <c r="C96" t="s">
        <v>61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54</v>
      </c>
      <c r="B97">
        <v>2015</v>
      </c>
      <c r="C97" t="s">
        <v>61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50</v>
      </c>
      <c r="B98">
        <v>2015</v>
      </c>
      <c r="C98" t="s">
        <v>62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52</v>
      </c>
      <c r="V98">
        <v>123.7</v>
      </c>
      <c r="W98">
        <v>124.5</v>
      </c>
      <c r="X98">
        <v>121.4</v>
      </c>
      <c r="Y98">
        <v>113.8</v>
      </c>
      <c r="Z98">
        <v>119.6</v>
      </c>
      <c r="AA98">
        <v>124.5</v>
      </c>
      <c r="AB98">
        <v>113.7</v>
      </c>
      <c r="AC98">
        <v>118.8</v>
      </c>
      <c r="AD98">
        <v>127</v>
      </c>
    </row>
    <row r="99" spans="1:30" x14ac:dyDescent="0.3">
      <c r="A99" t="s">
        <v>53</v>
      </c>
      <c r="B99">
        <v>2015</v>
      </c>
      <c r="C99" t="s">
        <v>62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54</v>
      </c>
      <c r="B100">
        <v>2015</v>
      </c>
      <c r="C100" t="s">
        <v>62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50</v>
      </c>
      <c r="B101">
        <v>2015</v>
      </c>
      <c r="C101" t="s">
        <v>63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52</v>
      </c>
      <c r="V101">
        <v>124.4</v>
      </c>
      <c r="W101">
        <v>125.1</v>
      </c>
      <c r="X101">
        <v>122</v>
      </c>
      <c r="Y101">
        <v>113.8</v>
      </c>
      <c r="Z101">
        <v>120.1</v>
      </c>
      <c r="AA101">
        <v>125.1</v>
      </c>
      <c r="AB101">
        <v>114.2</v>
      </c>
      <c r="AC101">
        <v>119.2</v>
      </c>
      <c r="AD101">
        <v>127.7</v>
      </c>
    </row>
    <row r="102" spans="1:30" x14ac:dyDescent="0.3">
      <c r="A102" t="s">
        <v>53</v>
      </c>
      <c r="B102">
        <v>2015</v>
      </c>
      <c r="C102" t="s">
        <v>63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54</v>
      </c>
      <c r="B103">
        <v>2015</v>
      </c>
      <c r="C103" t="s">
        <v>63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50</v>
      </c>
      <c r="B104">
        <v>2015</v>
      </c>
      <c r="C104" t="s">
        <v>65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52</v>
      </c>
      <c r="V104">
        <v>125.6</v>
      </c>
      <c r="W104">
        <v>125.6</v>
      </c>
      <c r="X104">
        <v>122.6</v>
      </c>
      <c r="Y104">
        <v>114</v>
      </c>
      <c r="Z104">
        <v>120.9</v>
      </c>
      <c r="AA104">
        <v>125.8</v>
      </c>
      <c r="AB104">
        <v>114.2</v>
      </c>
      <c r="AC104">
        <v>119.6</v>
      </c>
      <c r="AD104">
        <v>128.30000000000001</v>
      </c>
    </row>
    <row r="105" spans="1:30" x14ac:dyDescent="0.3">
      <c r="A105" t="s">
        <v>53</v>
      </c>
      <c r="B105">
        <v>2015</v>
      </c>
      <c r="C105" t="s">
        <v>65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54</v>
      </c>
      <c r="B106">
        <v>2015</v>
      </c>
      <c r="C106" t="s">
        <v>65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50</v>
      </c>
      <c r="B107">
        <v>2015</v>
      </c>
      <c r="C107" t="s">
        <v>66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52</v>
      </c>
      <c r="V107">
        <v>125.7</v>
      </c>
      <c r="W107">
        <v>126</v>
      </c>
      <c r="X107">
        <v>123.1</v>
      </c>
      <c r="Y107">
        <v>114</v>
      </c>
      <c r="Z107">
        <v>121.6</v>
      </c>
      <c r="AA107">
        <v>125.6</v>
      </c>
      <c r="AB107">
        <v>114.1</v>
      </c>
      <c r="AC107">
        <v>119.8</v>
      </c>
      <c r="AD107">
        <v>127.9</v>
      </c>
    </row>
    <row r="108" spans="1:30" x14ac:dyDescent="0.3">
      <c r="A108" t="s">
        <v>53</v>
      </c>
      <c r="B108">
        <v>2015</v>
      </c>
      <c r="C108" t="s">
        <v>66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54</v>
      </c>
      <c r="B109">
        <v>2015</v>
      </c>
      <c r="C109" t="s">
        <v>66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50</v>
      </c>
      <c r="B110">
        <v>2016</v>
      </c>
      <c r="C110" t="s">
        <v>51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52</v>
      </c>
      <c r="V110">
        <v>126.2</v>
      </c>
      <c r="W110">
        <v>126.6</v>
      </c>
      <c r="X110">
        <v>123.7</v>
      </c>
      <c r="Y110">
        <v>113.6</v>
      </c>
      <c r="Z110">
        <v>121.4</v>
      </c>
      <c r="AA110">
        <v>126.2</v>
      </c>
      <c r="AB110">
        <v>114.9</v>
      </c>
      <c r="AC110">
        <v>120.1</v>
      </c>
      <c r="AD110">
        <v>128.1</v>
      </c>
    </row>
    <row r="111" spans="1:30" x14ac:dyDescent="0.3">
      <c r="A111" t="s">
        <v>53</v>
      </c>
      <c r="B111">
        <v>2016</v>
      </c>
      <c r="C111" t="s">
        <v>51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54</v>
      </c>
      <c r="B112">
        <v>2016</v>
      </c>
      <c r="C112" t="s">
        <v>51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50</v>
      </c>
      <c r="B113">
        <v>2016</v>
      </c>
      <c r="C113" t="s">
        <v>55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52</v>
      </c>
      <c r="V113">
        <v>127.5</v>
      </c>
      <c r="W113">
        <v>127.1</v>
      </c>
      <c r="X113">
        <v>124.3</v>
      </c>
      <c r="Y113">
        <v>113.9</v>
      </c>
      <c r="Z113">
        <v>122.3</v>
      </c>
      <c r="AA113">
        <v>127.1</v>
      </c>
      <c r="AB113">
        <v>116.8</v>
      </c>
      <c r="AC113">
        <v>120.9</v>
      </c>
      <c r="AD113">
        <v>127.9</v>
      </c>
    </row>
    <row r="114" spans="1:30" x14ac:dyDescent="0.3">
      <c r="A114" t="s">
        <v>53</v>
      </c>
      <c r="B114">
        <v>2016</v>
      </c>
      <c r="C114" t="s">
        <v>55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54</v>
      </c>
      <c r="B115">
        <v>2016</v>
      </c>
      <c r="C115" t="s">
        <v>55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50</v>
      </c>
      <c r="B116">
        <v>2016</v>
      </c>
      <c r="C116" t="s">
        <v>56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52</v>
      </c>
      <c r="V116">
        <v>127</v>
      </c>
      <c r="W116">
        <v>127.7</v>
      </c>
      <c r="X116">
        <v>124.8</v>
      </c>
      <c r="Y116">
        <v>113.6</v>
      </c>
      <c r="Z116">
        <v>122.5</v>
      </c>
      <c r="AA116">
        <v>127.5</v>
      </c>
      <c r="AB116">
        <v>117.4</v>
      </c>
      <c r="AC116">
        <v>121.1</v>
      </c>
      <c r="AD116">
        <v>128</v>
      </c>
    </row>
    <row r="117" spans="1:30" x14ac:dyDescent="0.3">
      <c r="A117" t="s">
        <v>53</v>
      </c>
      <c r="B117">
        <v>2016</v>
      </c>
      <c r="C117" t="s">
        <v>56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54</v>
      </c>
      <c r="B118">
        <v>2016</v>
      </c>
      <c r="C118" t="s">
        <v>56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50</v>
      </c>
      <c r="B119">
        <v>2016</v>
      </c>
      <c r="C119" t="s">
        <v>57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52</v>
      </c>
      <c r="V119">
        <v>127</v>
      </c>
      <c r="W119">
        <v>128</v>
      </c>
      <c r="X119">
        <v>125.2</v>
      </c>
      <c r="Y119">
        <v>114.4</v>
      </c>
      <c r="Z119">
        <v>123.2</v>
      </c>
      <c r="AA119">
        <v>127.9</v>
      </c>
      <c r="AB119">
        <v>118.4</v>
      </c>
      <c r="AC119">
        <v>121.7</v>
      </c>
      <c r="AD119">
        <v>129</v>
      </c>
    </row>
    <row r="120" spans="1:30" x14ac:dyDescent="0.3">
      <c r="A120" t="s">
        <v>53</v>
      </c>
      <c r="B120">
        <v>2016</v>
      </c>
      <c r="C120" t="s">
        <v>57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54</v>
      </c>
      <c r="B121">
        <v>2016</v>
      </c>
      <c r="C121" t="s">
        <v>57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50</v>
      </c>
      <c r="B122">
        <v>2016</v>
      </c>
      <c r="C122" t="s">
        <v>58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52</v>
      </c>
      <c r="V122">
        <v>127.4</v>
      </c>
      <c r="W122">
        <v>128.5</v>
      </c>
      <c r="X122">
        <v>125.8</v>
      </c>
      <c r="Y122">
        <v>115.1</v>
      </c>
      <c r="Z122">
        <v>123.6</v>
      </c>
      <c r="AA122">
        <v>129.1</v>
      </c>
      <c r="AB122">
        <v>119.7</v>
      </c>
      <c r="AC122">
        <v>122.5</v>
      </c>
      <c r="AD122">
        <v>130.30000000000001</v>
      </c>
    </row>
    <row r="123" spans="1:30" x14ac:dyDescent="0.3">
      <c r="A123" t="s">
        <v>53</v>
      </c>
      <c r="B123">
        <v>2016</v>
      </c>
      <c r="C123" t="s">
        <v>58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54</v>
      </c>
      <c r="B124">
        <v>2016</v>
      </c>
      <c r="C124" t="s">
        <v>58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50</v>
      </c>
      <c r="B125">
        <v>2016</v>
      </c>
      <c r="C125" t="s">
        <v>59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52</v>
      </c>
      <c r="V125">
        <v>128</v>
      </c>
      <c r="W125">
        <v>129.30000000000001</v>
      </c>
      <c r="X125">
        <v>126.2</v>
      </c>
      <c r="Y125">
        <v>116.3</v>
      </c>
      <c r="Z125">
        <v>124.1</v>
      </c>
      <c r="AA125">
        <v>130.19999999999999</v>
      </c>
      <c r="AB125">
        <v>119.9</v>
      </c>
      <c r="AC125">
        <v>123.3</v>
      </c>
      <c r="AD125">
        <v>131.9</v>
      </c>
    </row>
    <row r="126" spans="1:30" x14ac:dyDescent="0.3">
      <c r="A126" t="s">
        <v>53</v>
      </c>
      <c r="B126">
        <v>2016</v>
      </c>
      <c r="C126" t="s">
        <v>59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54</v>
      </c>
      <c r="B127">
        <v>2016</v>
      </c>
      <c r="C127" t="s">
        <v>59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50</v>
      </c>
      <c r="B128">
        <v>2016</v>
      </c>
      <c r="C128" t="s">
        <v>60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52</v>
      </c>
      <c r="V128">
        <v>128.19999999999999</v>
      </c>
      <c r="W128">
        <v>130</v>
      </c>
      <c r="X128">
        <v>126.7</v>
      </c>
      <c r="Y128">
        <v>116.4</v>
      </c>
      <c r="Z128">
        <v>125.2</v>
      </c>
      <c r="AA128">
        <v>130.80000000000001</v>
      </c>
      <c r="AB128">
        <v>120.9</v>
      </c>
      <c r="AC128">
        <v>123.8</v>
      </c>
      <c r="AD128">
        <v>133</v>
      </c>
    </row>
    <row r="129" spans="1:30" x14ac:dyDescent="0.3">
      <c r="A129" t="s">
        <v>53</v>
      </c>
      <c r="B129">
        <v>2016</v>
      </c>
      <c r="C129" t="s">
        <v>60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54</v>
      </c>
      <c r="B130">
        <v>2016</v>
      </c>
      <c r="C130" t="s">
        <v>60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50</v>
      </c>
      <c r="B131">
        <v>2016</v>
      </c>
      <c r="C131" t="s">
        <v>61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52</v>
      </c>
      <c r="V131">
        <v>129.1</v>
      </c>
      <c r="W131">
        <v>130.6</v>
      </c>
      <c r="X131">
        <v>127</v>
      </c>
      <c r="Y131">
        <v>116</v>
      </c>
      <c r="Z131">
        <v>125.5</v>
      </c>
      <c r="AA131">
        <v>131.9</v>
      </c>
      <c r="AB131">
        <v>122</v>
      </c>
      <c r="AC131">
        <v>124.2</v>
      </c>
      <c r="AD131">
        <v>133.5</v>
      </c>
    </row>
    <row r="132" spans="1:30" x14ac:dyDescent="0.3">
      <c r="A132" t="s">
        <v>53</v>
      </c>
      <c r="B132">
        <v>2016</v>
      </c>
      <c r="C132" t="s">
        <v>61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54</v>
      </c>
      <c r="B133">
        <v>2016</v>
      </c>
      <c r="C133" t="s">
        <v>61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50</v>
      </c>
      <c r="B134">
        <v>2016</v>
      </c>
      <c r="C134" t="s">
        <v>62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52</v>
      </c>
      <c r="V134">
        <v>129.69999999999999</v>
      </c>
      <c r="W134">
        <v>131.1</v>
      </c>
      <c r="X134">
        <v>127.8</v>
      </c>
      <c r="Y134">
        <v>117</v>
      </c>
      <c r="Z134">
        <v>125.7</v>
      </c>
      <c r="AA134">
        <v>132.19999999999999</v>
      </c>
      <c r="AB134">
        <v>122.8</v>
      </c>
      <c r="AC134">
        <v>124.9</v>
      </c>
      <c r="AD134">
        <v>133.4</v>
      </c>
    </row>
    <row r="135" spans="1:30" x14ac:dyDescent="0.3">
      <c r="A135" t="s">
        <v>53</v>
      </c>
      <c r="B135">
        <v>2016</v>
      </c>
      <c r="C135" t="s">
        <v>62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54</v>
      </c>
      <c r="B136">
        <v>2016</v>
      </c>
      <c r="C136" t="s">
        <v>62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50</v>
      </c>
      <c r="B137">
        <v>2016</v>
      </c>
      <c r="C137" t="s">
        <v>63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52</v>
      </c>
      <c r="V137">
        <v>129.80000000000001</v>
      </c>
      <c r="W137">
        <v>131.80000000000001</v>
      </c>
      <c r="X137">
        <v>128.69999999999999</v>
      </c>
      <c r="Y137">
        <v>117.8</v>
      </c>
      <c r="Z137">
        <v>126.5</v>
      </c>
      <c r="AA137">
        <v>133</v>
      </c>
      <c r="AB137">
        <v>123</v>
      </c>
      <c r="AC137">
        <v>125.7</v>
      </c>
      <c r="AD137">
        <v>133.80000000000001</v>
      </c>
    </row>
    <row r="138" spans="1:30" x14ac:dyDescent="0.3">
      <c r="A138" t="s">
        <v>53</v>
      </c>
      <c r="B138">
        <v>2016</v>
      </c>
      <c r="C138" t="s">
        <v>63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54</v>
      </c>
      <c r="B139">
        <v>2016</v>
      </c>
      <c r="C139" t="s">
        <v>63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50</v>
      </c>
      <c r="B140">
        <v>2016</v>
      </c>
      <c r="C140" t="s">
        <v>65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52</v>
      </c>
      <c r="V140">
        <v>130.30000000000001</v>
      </c>
      <c r="W140">
        <v>132.1</v>
      </c>
      <c r="X140">
        <v>129.1</v>
      </c>
      <c r="Y140">
        <v>118.2</v>
      </c>
      <c r="Z140">
        <v>126.9</v>
      </c>
      <c r="AA140">
        <v>133.69999999999999</v>
      </c>
      <c r="AB140">
        <v>123.5</v>
      </c>
      <c r="AC140">
        <v>126.1</v>
      </c>
      <c r="AD140">
        <v>133.6</v>
      </c>
    </row>
    <row r="141" spans="1:30" x14ac:dyDescent="0.3">
      <c r="A141" t="s">
        <v>53</v>
      </c>
      <c r="B141">
        <v>2016</v>
      </c>
      <c r="C141" t="s">
        <v>65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54</v>
      </c>
      <c r="B142">
        <v>2016</v>
      </c>
      <c r="C142" t="s">
        <v>65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50</v>
      </c>
      <c r="B143">
        <v>2016</v>
      </c>
      <c r="C143" t="s">
        <v>66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52</v>
      </c>
      <c r="V143">
        <v>132</v>
      </c>
      <c r="W143">
        <v>132.9</v>
      </c>
      <c r="X143">
        <v>129.69999999999999</v>
      </c>
      <c r="Y143">
        <v>118.6</v>
      </c>
      <c r="Z143">
        <v>127.3</v>
      </c>
      <c r="AA143">
        <v>134.19999999999999</v>
      </c>
      <c r="AB143">
        <v>121.9</v>
      </c>
      <c r="AC143">
        <v>126.3</v>
      </c>
      <c r="AD143">
        <v>132.80000000000001</v>
      </c>
    </row>
    <row r="144" spans="1:30" x14ac:dyDescent="0.3">
      <c r="A144" t="s">
        <v>53</v>
      </c>
      <c r="B144">
        <v>2016</v>
      </c>
      <c r="C144" t="s">
        <v>66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54</v>
      </c>
      <c r="B145">
        <v>2016</v>
      </c>
      <c r="C145" t="s">
        <v>66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50</v>
      </c>
      <c r="B146">
        <v>2017</v>
      </c>
      <c r="C146" t="s">
        <v>51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52</v>
      </c>
      <c r="V146">
        <v>132.1</v>
      </c>
      <c r="W146">
        <v>133.19999999999999</v>
      </c>
      <c r="X146">
        <v>129.9</v>
      </c>
      <c r="Y146">
        <v>119.1</v>
      </c>
      <c r="Z146">
        <v>127</v>
      </c>
      <c r="AA146">
        <v>134.6</v>
      </c>
      <c r="AB146">
        <v>122.3</v>
      </c>
      <c r="AC146">
        <v>126.6</v>
      </c>
      <c r="AD146">
        <v>132.4</v>
      </c>
    </row>
    <row r="147" spans="1:30" x14ac:dyDescent="0.3">
      <c r="A147" t="s">
        <v>53</v>
      </c>
      <c r="B147">
        <v>2017</v>
      </c>
      <c r="C147" t="s">
        <v>51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54</v>
      </c>
      <c r="B148">
        <v>2017</v>
      </c>
      <c r="C148" t="s">
        <v>51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50</v>
      </c>
      <c r="B149">
        <v>2017</v>
      </c>
      <c r="C149" t="s">
        <v>55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52</v>
      </c>
      <c r="V149">
        <v>133.19999999999999</v>
      </c>
      <c r="W149">
        <v>133.6</v>
      </c>
      <c r="X149">
        <v>130.1</v>
      </c>
      <c r="Y149">
        <v>119.5</v>
      </c>
      <c r="Z149">
        <v>127.7</v>
      </c>
      <c r="AA149">
        <v>134.9</v>
      </c>
      <c r="AB149">
        <v>123.2</v>
      </c>
      <c r="AC149">
        <v>127</v>
      </c>
      <c r="AD149">
        <v>132.6</v>
      </c>
    </row>
    <row r="150" spans="1:30" x14ac:dyDescent="0.3">
      <c r="A150" t="s">
        <v>53</v>
      </c>
      <c r="B150">
        <v>2017</v>
      </c>
      <c r="C150" t="s">
        <v>55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54</v>
      </c>
      <c r="B151">
        <v>2017</v>
      </c>
      <c r="C151" t="s">
        <v>55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50</v>
      </c>
      <c r="B152">
        <v>2017</v>
      </c>
      <c r="C152" t="s">
        <v>56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52</v>
      </c>
      <c r="V152">
        <v>134.19999999999999</v>
      </c>
      <c r="W152">
        <v>134.1</v>
      </c>
      <c r="X152">
        <v>130.6</v>
      </c>
      <c r="Y152">
        <v>119.8</v>
      </c>
      <c r="Z152">
        <v>128.30000000000001</v>
      </c>
      <c r="AA152">
        <v>135.19999999999999</v>
      </c>
      <c r="AB152">
        <v>123.3</v>
      </c>
      <c r="AC152">
        <v>127.4</v>
      </c>
      <c r="AD152">
        <v>132.80000000000001</v>
      </c>
    </row>
    <row r="153" spans="1:30" x14ac:dyDescent="0.3">
      <c r="A153" t="s">
        <v>53</v>
      </c>
      <c r="B153">
        <v>2017</v>
      </c>
      <c r="C153" t="s">
        <v>56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54</v>
      </c>
      <c r="B154">
        <v>2017</v>
      </c>
      <c r="C154" t="s">
        <v>56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50</v>
      </c>
      <c r="B155">
        <v>2017</v>
      </c>
      <c r="C155" t="s">
        <v>57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52</v>
      </c>
      <c r="V155">
        <v>135</v>
      </c>
      <c r="W155">
        <v>134.30000000000001</v>
      </c>
      <c r="X155">
        <v>131</v>
      </c>
      <c r="Y155">
        <v>119.2</v>
      </c>
      <c r="Z155">
        <v>128.30000000000001</v>
      </c>
      <c r="AA155">
        <v>135.69999999999999</v>
      </c>
      <c r="AB155">
        <v>123.7</v>
      </c>
      <c r="AC155">
        <v>127.5</v>
      </c>
      <c r="AD155">
        <v>132.9</v>
      </c>
    </row>
    <row r="156" spans="1:30" x14ac:dyDescent="0.3">
      <c r="A156" t="s">
        <v>53</v>
      </c>
      <c r="B156">
        <v>2017</v>
      </c>
      <c r="C156" t="s">
        <v>57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54</v>
      </c>
      <c r="B157">
        <v>2017</v>
      </c>
      <c r="C157" t="s">
        <v>57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50</v>
      </c>
      <c r="B158">
        <v>2017</v>
      </c>
      <c r="C158" t="s">
        <v>58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52</v>
      </c>
      <c r="V158">
        <v>135</v>
      </c>
      <c r="W158">
        <v>134.9</v>
      </c>
      <c r="X158">
        <v>131.4</v>
      </c>
      <c r="Y158">
        <v>119.4</v>
      </c>
      <c r="Z158">
        <v>129.4</v>
      </c>
      <c r="AA158">
        <v>136.30000000000001</v>
      </c>
      <c r="AB158">
        <v>123.7</v>
      </c>
      <c r="AC158">
        <v>127.9</v>
      </c>
      <c r="AD158">
        <v>133.30000000000001</v>
      </c>
    </row>
    <row r="159" spans="1:30" x14ac:dyDescent="0.3">
      <c r="A159" t="s">
        <v>53</v>
      </c>
      <c r="B159">
        <v>2017</v>
      </c>
      <c r="C159" t="s">
        <v>58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54</v>
      </c>
      <c r="B160">
        <v>2017</v>
      </c>
      <c r="C160" t="s">
        <v>58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50</v>
      </c>
      <c r="B161">
        <v>2017</v>
      </c>
      <c r="C161" t="s">
        <v>59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52</v>
      </c>
      <c r="V161">
        <v>134.80000000000001</v>
      </c>
      <c r="W161">
        <v>135.19999999999999</v>
      </c>
      <c r="X161">
        <v>131.30000000000001</v>
      </c>
      <c r="Y161">
        <v>119.4</v>
      </c>
      <c r="Z161">
        <v>129.80000000000001</v>
      </c>
      <c r="AA161">
        <v>136.9</v>
      </c>
      <c r="AB161">
        <v>124.1</v>
      </c>
      <c r="AC161">
        <v>128.1</v>
      </c>
      <c r="AD161">
        <v>133.9</v>
      </c>
    </row>
    <row r="162" spans="1:30" x14ac:dyDescent="0.3">
      <c r="A162" t="s">
        <v>53</v>
      </c>
      <c r="B162">
        <v>2017</v>
      </c>
      <c r="C162" t="s">
        <v>59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54</v>
      </c>
      <c r="B163">
        <v>2017</v>
      </c>
      <c r="C163" t="s">
        <v>59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50</v>
      </c>
      <c r="B164">
        <v>2017</v>
      </c>
      <c r="C164" t="s">
        <v>60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52</v>
      </c>
      <c r="V164">
        <v>135.30000000000001</v>
      </c>
      <c r="W164">
        <v>136.1</v>
      </c>
      <c r="X164">
        <v>132.1</v>
      </c>
      <c r="Y164">
        <v>119.1</v>
      </c>
      <c r="Z164">
        <v>130.6</v>
      </c>
      <c r="AA164">
        <v>138.6</v>
      </c>
      <c r="AB164">
        <v>124.4</v>
      </c>
      <c r="AC164">
        <v>128.6</v>
      </c>
      <c r="AD164">
        <v>136.19999999999999</v>
      </c>
    </row>
    <row r="165" spans="1:30" x14ac:dyDescent="0.3">
      <c r="A165" t="s">
        <v>53</v>
      </c>
      <c r="B165">
        <v>2017</v>
      </c>
      <c r="C165" t="s">
        <v>60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54</v>
      </c>
      <c r="B166">
        <v>2017</v>
      </c>
      <c r="C166" t="s">
        <v>60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50</v>
      </c>
      <c r="B167">
        <v>2017</v>
      </c>
      <c r="C167" t="s">
        <v>61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52</v>
      </c>
      <c r="V167">
        <v>136.4</v>
      </c>
      <c r="W167">
        <v>137.30000000000001</v>
      </c>
      <c r="X167">
        <v>133</v>
      </c>
      <c r="Y167">
        <v>120.3</v>
      </c>
      <c r="Z167">
        <v>131.5</v>
      </c>
      <c r="AA167">
        <v>140.19999999999999</v>
      </c>
      <c r="AB167">
        <v>125.4</v>
      </c>
      <c r="AC167">
        <v>129.69999999999999</v>
      </c>
      <c r="AD167">
        <v>137.80000000000001</v>
      </c>
    </row>
    <row r="168" spans="1:30" x14ac:dyDescent="0.3">
      <c r="A168" t="s">
        <v>53</v>
      </c>
      <c r="B168">
        <v>2017</v>
      </c>
      <c r="C168" t="s">
        <v>61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54</v>
      </c>
      <c r="B169">
        <v>2017</v>
      </c>
      <c r="C169" t="s">
        <v>61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50</v>
      </c>
      <c r="B170">
        <v>2017</v>
      </c>
      <c r="C170" t="s">
        <v>62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52</v>
      </c>
      <c r="V170">
        <v>137.4</v>
      </c>
      <c r="W170">
        <v>137.9</v>
      </c>
      <c r="X170">
        <v>133.4</v>
      </c>
      <c r="Y170">
        <v>121.2</v>
      </c>
      <c r="Z170">
        <v>132.30000000000001</v>
      </c>
      <c r="AA170">
        <v>139.6</v>
      </c>
      <c r="AB170">
        <v>126.7</v>
      </c>
      <c r="AC170">
        <v>130.30000000000001</v>
      </c>
      <c r="AD170">
        <v>137.6</v>
      </c>
    </row>
    <row r="171" spans="1:30" x14ac:dyDescent="0.3">
      <c r="A171" t="s">
        <v>53</v>
      </c>
      <c r="B171">
        <v>2017</v>
      </c>
      <c r="C171" t="s">
        <v>62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54</v>
      </c>
      <c r="B172">
        <v>2017</v>
      </c>
      <c r="C172" t="s">
        <v>62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50</v>
      </c>
      <c r="B173">
        <v>2017</v>
      </c>
      <c r="C173" t="s">
        <v>63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52</v>
      </c>
      <c r="V173">
        <v>138.1</v>
      </c>
      <c r="W173">
        <v>138.4</v>
      </c>
      <c r="X173">
        <v>134.19999999999999</v>
      </c>
      <c r="Y173">
        <v>121</v>
      </c>
      <c r="Z173">
        <v>133</v>
      </c>
      <c r="AA173">
        <v>140.1</v>
      </c>
      <c r="AB173">
        <v>127.4</v>
      </c>
      <c r="AC173">
        <v>130.69999999999999</v>
      </c>
      <c r="AD173">
        <v>138.30000000000001</v>
      </c>
    </row>
    <row r="174" spans="1:30" x14ac:dyDescent="0.3">
      <c r="A174" t="s">
        <v>53</v>
      </c>
      <c r="B174">
        <v>2017</v>
      </c>
      <c r="C174" t="s">
        <v>63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54</v>
      </c>
      <c r="B175">
        <v>2017</v>
      </c>
      <c r="C175" t="s">
        <v>63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50</v>
      </c>
      <c r="B176">
        <v>2017</v>
      </c>
      <c r="C176" t="s">
        <v>65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52</v>
      </c>
      <c r="V176">
        <v>141.1</v>
      </c>
      <c r="W176">
        <v>139.4</v>
      </c>
      <c r="X176">
        <v>135.80000000000001</v>
      </c>
      <c r="Y176">
        <v>121.6</v>
      </c>
      <c r="Z176">
        <v>133.69999999999999</v>
      </c>
      <c r="AA176">
        <v>141.5</v>
      </c>
      <c r="AB176">
        <v>128.1</v>
      </c>
      <c r="AC176">
        <v>131.69999999999999</v>
      </c>
      <c r="AD176">
        <v>140</v>
      </c>
    </row>
    <row r="177" spans="1:30" x14ac:dyDescent="0.3">
      <c r="A177" t="s">
        <v>53</v>
      </c>
      <c r="B177">
        <v>2017</v>
      </c>
      <c r="C177" t="s">
        <v>65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54</v>
      </c>
      <c r="B178">
        <v>2017</v>
      </c>
      <c r="C178" t="s">
        <v>65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50</v>
      </c>
      <c r="B179">
        <v>2017</v>
      </c>
      <c r="C179" t="s">
        <v>66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52</v>
      </c>
      <c r="V179">
        <v>142.6</v>
      </c>
      <c r="W179">
        <v>139.5</v>
      </c>
      <c r="X179">
        <v>136.1</v>
      </c>
      <c r="Y179">
        <v>122</v>
      </c>
      <c r="Z179">
        <v>133.4</v>
      </c>
      <c r="AA179">
        <v>141.1</v>
      </c>
      <c r="AB179">
        <v>127.8</v>
      </c>
      <c r="AC179">
        <v>131.9</v>
      </c>
      <c r="AD179">
        <v>139.80000000000001</v>
      </c>
    </row>
    <row r="180" spans="1:30" x14ac:dyDescent="0.3">
      <c r="A180" t="s">
        <v>53</v>
      </c>
      <c r="B180">
        <v>2017</v>
      </c>
      <c r="C180" t="s">
        <v>66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54</v>
      </c>
      <c r="B181">
        <v>2017</v>
      </c>
      <c r="C181" t="s">
        <v>66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50</v>
      </c>
      <c r="B182">
        <v>2018</v>
      </c>
      <c r="C182" t="s">
        <v>51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52</v>
      </c>
      <c r="V182">
        <v>142.30000000000001</v>
      </c>
      <c r="W182">
        <v>139.80000000000001</v>
      </c>
      <c r="X182">
        <v>136</v>
      </c>
      <c r="Y182">
        <v>122.7</v>
      </c>
      <c r="Z182">
        <v>134.30000000000001</v>
      </c>
      <c r="AA182">
        <v>141.6</v>
      </c>
      <c r="AB182">
        <v>128.6</v>
      </c>
      <c r="AC182">
        <v>132.30000000000001</v>
      </c>
      <c r="AD182">
        <v>139.30000000000001</v>
      </c>
    </row>
    <row r="183" spans="1:30" x14ac:dyDescent="0.3">
      <c r="A183" t="s">
        <v>53</v>
      </c>
      <c r="B183">
        <v>2018</v>
      </c>
      <c r="C183" t="s">
        <v>51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54</v>
      </c>
      <c r="B184">
        <v>2018</v>
      </c>
      <c r="C184" t="s">
        <v>51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50</v>
      </c>
      <c r="B185">
        <v>2018</v>
      </c>
      <c r="C185" t="s">
        <v>55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52</v>
      </c>
      <c r="V185">
        <v>142.4</v>
      </c>
      <c r="W185">
        <v>139.9</v>
      </c>
      <c r="X185">
        <v>136.19999999999999</v>
      </c>
      <c r="Y185">
        <v>123.3</v>
      </c>
      <c r="Z185">
        <v>134.30000000000001</v>
      </c>
      <c r="AA185">
        <v>141.5</v>
      </c>
      <c r="AB185">
        <v>128.80000000000001</v>
      </c>
      <c r="AC185">
        <v>132.5</v>
      </c>
      <c r="AD185">
        <v>138.5</v>
      </c>
    </row>
    <row r="186" spans="1:30" x14ac:dyDescent="0.3">
      <c r="A186" t="s">
        <v>53</v>
      </c>
      <c r="B186">
        <v>2018</v>
      </c>
      <c r="C186" t="s">
        <v>55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54</v>
      </c>
      <c r="B187">
        <v>2018</v>
      </c>
      <c r="C187" t="s">
        <v>55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50</v>
      </c>
      <c r="B188">
        <v>2018</v>
      </c>
      <c r="C188" t="s">
        <v>56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52</v>
      </c>
      <c r="V188">
        <v>142.6</v>
      </c>
      <c r="W188">
        <v>139.9</v>
      </c>
      <c r="X188">
        <v>136.69999999999999</v>
      </c>
      <c r="Y188">
        <v>124.6</v>
      </c>
      <c r="Z188">
        <v>135.1</v>
      </c>
      <c r="AA188">
        <v>142.69999999999999</v>
      </c>
      <c r="AB188">
        <v>129.30000000000001</v>
      </c>
      <c r="AC188">
        <v>133.30000000000001</v>
      </c>
      <c r="AD188">
        <v>138.69999999999999</v>
      </c>
    </row>
    <row r="189" spans="1:30" x14ac:dyDescent="0.3">
      <c r="A189" t="s">
        <v>53</v>
      </c>
      <c r="B189">
        <v>2018</v>
      </c>
      <c r="C189" t="s">
        <v>56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54</v>
      </c>
      <c r="B190">
        <v>2018</v>
      </c>
      <c r="C190" t="s">
        <v>56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50</v>
      </c>
      <c r="B191">
        <v>2018</v>
      </c>
      <c r="C191" t="s">
        <v>57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52</v>
      </c>
      <c r="V191">
        <v>143.80000000000001</v>
      </c>
      <c r="W191">
        <v>140.9</v>
      </c>
      <c r="X191">
        <v>137.6</v>
      </c>
      <c r="Y191">
        <v>125.3</v>
      </c>
      <c r="Z191">
        <v>136</v>
      </c>
      <c r="AA191">
        <v>143.69999999999999</v>
      </c>
      <c r="AB191">
        <v>130.4</v>
      </c>
      <c r="AC191">
        <v>134.19999999999999</v>
      </c>
      <c r="AD191">
        <v>139.1</v>
      </c>
    </row>
    <row r="192" spans="1:30" x14ac:dyDescent="0.3">
      <c r="A192" t="s">
        <v>53</v>
      </c>
      <c r="B192">
        <v>2018</v>
      </c>
      <c r="C192" t="s">
        <v>57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54</v>
      </c>
      <c r="B193">
        <v>2018</v>
      </c>
      <c r="C193" t="s">
        <v>57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50</v>
      </c>
      <c r="B194">
        <v>2018</v>
      </c>
      <c r="C194" t="s">
        <v>58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52</v>
      </c>
      <c r="V194">
        <v>144.30000000000001</v>
      </c>
      <c r="W194">
        <v>141.80000000000001</v>
      </c>
      <c r="X194">
        <v>138.4</v>
      </c>
      <c r="Y194">
        <v>126.4</v>
      </c>
      <c r="Z194">
        <v>136.80000000000001</v>
      </c>
      <c r="AA194">
        <v>144.4</v>
      </c>
      <c r="AB194">
        <v>131.19999999999999</v>
      </c>
      <c r="AC194">
        <v>135.1</v>
      </c>
      <c r="AD194">
        <v>139.80000000000001</v>
      </c>
    </row>
    <row r="195" spans="1:30" x14ac:dyDescent="0.3">
      <c r="A195" t="s">
        <v>53</v>
      </c>
      <c r="B195">
        <v>2018</v>
      </c>
      <c r="C195" t="s">
        <v>58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54</v>
      </c>
      <c r="B196">
        <v>2018</v>
      </c>
      <c r="C196" t="s">
        <v>58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50</v>
      </c>
      <c r="B197">
        <v>2018</v>
      </c>
      <c r="C197" t="s">
        <v>59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52</v>
      </c>
      <c r="V197">
        <v>145.1</v>
      </c>
      <c r="W197">
        <v>142.19999999999999</v>
      </c>
      <c r="X197">
        <v>138.4</v>
      </c>
      <c r="Y197">
        <v>127.4</v>
      </c>
      <c r="Z197">
        <v>137.80000000000001</v>
      </c>
      <c r="AA197">
        <v>145.1</v>
      </c>
      <c r="AB197">
        <v>131.4</v>
      </c>
      <c r="AC197">
        <v>135.6</v>
      </c>
      <c r="AD197">
        <v>140.5</v>
      </c>
    </row>
    <row r="198" spans="1:30" x14ac:dyDescent="0.3">
      <c r="A198" t="s">
        <v>53</v>
      </c>
      <c r="B198">
        <v>2018</v>
      </c>
      <c r="C198" t="s">
        <v>59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54</v>
      </c>
      <c r="B199">
        <v>2018</v>
      </c>
      <c r="C199" t="s">
        <v>59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50</v>
      </c>
      <c r="B200">
        <v>2018</v>
      </c>
      <c r="C200" t="s">
        <v>60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52</v>
      </c>
      <c r="V200">
        <v>146.80000000000001</v>
      </c>
      <c r="W200">
        <v>143.1</v>
      </c>
      <c r="X200">
        <v>139</v>
      </c>
      <c r="Y200">
        <v>127.5</v>
      </c>
      <c r="Z200">
        <v>138.4</v>
      </c>
      <c r="AA200">
        <v>145.80000000000001</v>
      </c>
      <c r="AB200">
        <v>131.4</v>
      </c>
      <c r="AC200">
        <v>136</v>
      </c>
      <c r="AD200">
        <v>141.80000000000001</v>
      </c>
    </row>
    <row r="201" spans="1:30" x14ac:dyDescent="0.3">
      <c r="A201" t="s">
        <v>53</v>
      </c>
      <c r="B201">
        <v>2018</v>
      </c>
      <c r="C201" t="s">
        <v>60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54</v>
      </c>
      <c r="B202">
        <v>2018</v>
      </c>
      <c r="C202" t="s">
        <v>60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50</v>
      </c>
      <c r="B203">
        <v>2018</v>
      </c>
      <c r="C203" t="s">
        <v>61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52</v>
      </c>
      <c r="V203">
        <v>147.69999999999999</v>
      </c>
      <c r="W203">
        <v>143.80000000000001</v>
      </c>
      <c r="X203">
        <v>139.4</v>
      </c>
      <c r="Y203">
        <v>128.30000000000001</v>
      </c>
      <c r="Z203">
        <v>138.6</v>
      </c>
      <c r="AA203">
        <v>146.9</v>
      </c>
      <c r="AB203">
        <v>131.30000000000001</v>
      </c>
      <c r="AC203">
        <v>136.6</v>
      </c>
      <c r="AD203">
        <v>142.5</v>
      </c>
    </row>
    <row r="204" spans="1:30" x14ac:dyDescent="0.3">
      <c r="A204" t="s">
        <v>53</v>
      </c>
      <c r="B204">
        <v>2018</v>
      </c>
      <c r="C204" t="s">
        <v>61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54</v>
      </c>
      <c r="B205">
        <v>2018</v>
      </c>
      <c r="C205" t="s">
        <v>61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50</v>
      </c>
      <c r="B206">
        <v>2018</v>
      </c>
      <c r="C206" t="s">
        <v>62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52</v>
      </c>
      <c r="V206">
        <v>149</v>
      </c>
      <c r="W206">
        <v>144</v>
      </c>
      <c r="X206">
        <v>140</v>
      </c>
      <c r="Y206">
        <v>129.9</v>
      </c>
      <c r="Z206">
        <v>140</v>
      </c>
      <c r="AA206">
        <v>147.6</v>
      </c>
      <c r="AB206">
        <v>132</v>
      </c>
      <c r="AC206">
        <v>137.4</v>
      </c>
      <c r="AD206">
        <v>142.1</v>
      </c>
    </row>
    <row r="207" spans="1:30" x14ac:dyDescent="0.3">
      <c r="A207" t="s">
        <v>53</v>
      </c>
      <c r="B207">
        <v>2018</v>
      </c>
      <c r="C207" t="s">
        <v>62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54</v>
      </c>
      <c r="B208">
        <v>2018</v>
      </c>
      <c r="C208" t="s">
        <v>62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50</v>
      </c>
      <c r="B209">
        <v>2018</v>
      </c>
      <c r="C209" t="s">
        <v>63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52</v>
      </c>
      <c r="V209">
        <v>149.69999999999999</v>
      </c>
      <c r="W209">
        <v>147.5</v>
      </c>
      <c r="X209">
        <v>144.80000000000001</v>
      </c>
      <c r="Y209">
        <v>130.80000000000001</v>
      </c>
      <c r="Z209">
        <v>140.1</v>
      </c>
      <c r="AA209">
        <v>148</v>
      </c>
      <c r="AB209">
        <v>134.4</v>
      </c>
      <c r="AC209">
        <v>139.80000000000001</v>
      </c>
      <c r="AD209">
        <v>142.19999999999999</v>
      </c>
    </row>
    <row r="210" spans="1:30" x14ac:dyDescent="0.3">
      <c r="A210" t="s">
        <v>53</v>
      </c>
      <c r="B210">
        <v>2018</v>
      </c>
      <c r="C210" t="s">
        <v>63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54</v>
      </c>
      <c r="B211">
        <v>2018</v>
      </c>
      <c r="C211" t="s">
        <v>63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50</v>
      </c>
      <c r="B212">
        <v>2018</v>
      </c>
      <c r="C212" t="s">
        <v>65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52</v>
      </c>
      <c r="V212">
        <v>150.30000000000001</v>
      </c>
      <c r="W212">
        <v>148</v>
      </c>
      <c r="X212">
        <v>145.4</v>
      </c>
      <c r="Y212">
        <v>130.30000000000001</v>
      </c>
      <c r="Z212">
        <v>143.1</v>
      </c>
      <c r="AA212">
        <v>150.19999999999999</v>
      </c>
      <c r="AB212">
        <v>133.1</v>
      </c>
      <c r="AC212">
        <v>140.1</v>
      </c>
      <c r="AD212">
        <v>142.4</v>
      </c>
    </row>
    <row r="213" spans="1:30" x14ac:dyDescent="0.3">
      <c r="A213" t="s">
        <v>53</v>
      </c>
      <c r="B213">
        <v>2018</v>
      </c>
      <c r="C213" t="s">
        <v>65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54</v>
      </c>
      <c r="B214">
        <v>2018</v>
      </c>
      <c r="C214" t="s">
        <v>65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50</v>
      </c>
      <c r="B215">
        <v>2018</v>
      </c>
      <c r="C215" t="s">
        <v>66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52</v>
      </c>
      <c r="V215">
        <v>149</v>
      </c>
      <c r="W215">
        <v>149.5</v>
      </c>
      <c r="X215">
        <v>149.6</v>
      </c>
      <c r="Y215">
        <v>128.9</v>
      </c>
      <c r="Z215">
        <v>143.30000000000001</v>
      </c>
      <c r="AA215">
        <v>155.1</v>
      </c>
      <c r="AB215">
        <v>133.19999999999999</v>
      </c>
      <c r="AC215">
        <v>141.6</v>
      </c>
      <c r="AD215">
        <v>141.9</v>
      </c>
    </row>
    <row r="216" spans="1:30" x14ac:dyDescent="0.3">
      <c r="A216" t="s">
        <v>53</v>
      </c>
      <c r="B216">
        <v>2018</v>
      </c>
      <c r="C216" t="s">
        <v>66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54</v>
      </c>
      <c r="B217">
        <v>2018</v>
      </c>
      <c r="C217" t="s">
        <v>66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50</v>
      </c>
      <c r="B218">
        <v>2019</v>
      </c>
      <c r="C218" t="s">
        <v>51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52</v>
      </c>
      <c r="V218">
        <v>146.19999999999999</v>
      </c>
      <c r="W218">
        <v>150.1</v>
      </c>
      <c r="X218">
        <v>149.6</v>
      </c>
      <c r="Y218">
        <v>128.6</v>
      </c>
      <c r="Z218">
        <v>142.9</v>
      </c>
      <c r="AA218">
        <v>155.19999999999999</v>
      </c>
      <c r="AB218">
        <v>133.5</v>
      </c>
      <c r="AC218">
        <v>141.69999999999999</v>
      </c>
      <c r="AD218">
        <v>141</v>
      </c>
    </row>
    <row r="219" spans="1:30" x14ac:dyDescent="0.3">
      <c r="A219" t="s">
        <v>53</v>
      </c>
      <c r="B219">
        <v>2019</v>
      </c>
      <c r="C219" t="s">
        <v>51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54</v>
      </c>
      <c r="B220">
        <v>2019</v>
      </c>
      <c r="C220" t="s">
        <v>51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50</v>
      </c>
      <c r="B221">
        <v>2019</v>
      </c>
      <c r="C221" t="s">
        <v>55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52</v>
      </c>
      <c r="V221">
        <v>145.30000000000001</v>
      </c>
      <c r="W221">
        <v>150.1</v>
      </c>
      <c r="X221">
        <v>149.9</v>
      </c>
      <c r="Y221">
        <v>129.19999999999999</v>
      </c>
      <c r="Z221">
        <v>143.4</v>
      </c>
      <c r="AA221">
        <v>155.5</v>
      </c>
      <c r="AB221">
        <v>134.9</v>
      </c>
      <c r="AC221">
        <v>142.19999999999999</v>
      </c>
      <c r="AD221">
        <v>141</v>
      </c>
    </row>
    <row r="222" spans="1:30" x14ac:dyDescent="0.3">
      <c r="A222" t="s">
        <v>53</v>
      </c>
      <c r="B222">
        <v>2019</v>
      </c>
      <c r="C222" t="s">
        <v>55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54</v>
      </c>
      <c r="B223">
        <v>2019</v>
      </c>
      <c r="C223" t="s">
        <v>55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50</v>
      </c>
      <c r="B224">
        <v>2019</v>
      </c>
      <c r="C224" t="s">
        <v>56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52</v>
      </c>
      <c r="V224">
        <v>146.4</v>
      </c>
      <c r="W224">
        <v>150</v>
      </c>
      <c r="X224">
        <v>150.4</v>
      </c>
      <c r="Y224">
        <v>129.9</v>
      </c>
      <c r="Z224">
        <v>143.80000000000001</v>
      </c>
      <c r="AA224">
        <v>155.5</v>
      </c>
      <c r="AB224">
        <v>134</v>
      </c>
      <c r="AC224">
        <v>142.4</v>
      </c>
      <c r="AD224">
        <v>141.19999999999999</v>
      </c>
    </row>
    <row r="225" spans="1:30" x14ac:dyDescent="0.3">
      <c r="A225" t="s">
        <v>53</v>
      </c>
      <c r="B225">
        <v>2019</v>
      </c>
      <c r="C225" t="s">
        <v>56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54</v>
      </c>
      <c r="B226">
        <v>2019</v>
      </c>
      <c r="C226" t="s">
        <v>56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50</v>
      </c>
      <c r="B227">
        <v>2019</v>
      </c>
      <c r="C227" t="s">
        <v>58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52</v>
      </c>
      <c r="V227">
        <v>146.9</v>
      </c>
      <c r="W227">
        <v>149.5</v>
      </c>
      <c r="X227">
        <v>151.30000000000001</v>
      </c>
      <c r="Y227">
        <v>130.19999999999999</v>
      </c>
      <c r="Z227">
        <v>145.9</v>
      </c>
      <c r="AA227">
        <v>156.69999999999999</v>
      </c>
      <c r="AB227">
        <v>133.9</v>
      </c>
      <c r="AC227">
        <v>142.9</v>
      </c>
      <c r="AD227">
        <v>142.4</v>
      </c>
    </row>
    <row r="228" spans="1:30" x14ac:dyDescent="0.3">
      <c r="A228" t="s">
        <v>53</v>
      </c>
      <c r="B228">
        <v>2019</v>
      </c>
      <c r="C228" t="s">
        <v>58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54</v>
      </c>
      <c r="B229">
        <v>2019</v>
      </c>
      <c r="C229" t="s">
        <v>58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50</v>
      </c>
      <c r="B230">
        <v>2019</v>
      </c>
      <c r="C230" t="s">
        <v>59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52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53</v>
      </c>
      <c r="B231">
        <v>2019</v>
      </c>
      <c r="C231" t="s">
        <v>59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54</v>
      </c>
      <c r="B232">
        <v>2019</v>
      </c>
      <c r="C232" t="s">
        <v>59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50</v>
      </c>
      <c r="B233">
        <v>2019</v>
      </c>
      <c r="C233" t="s">
        <v>60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52</v>
      </c>
      <c r="V233">
        <v>146.80000000000001</v>
      </c>
      <c r="W233">
        <v>150</v>
      </c>
      <c r="X233">
        <v>152.19999999999999</v>
      </c>
      <c r="Y233">
        <v>131.19999999999999</v>
      </c>
      <c r="Z233">
        <v>147.5</v>
      </c>
      <c r="AA233">
        <v>159.1</v>
      </c>
      <c r="AB233">
        <v>136.1</v>
      </c>
      <c r="AC233">
        <v>144.19999999999999</v>
      </c>
      <c r="AD233">
        <v>144.9</v>
      </c>
    </row>
    <row r="234" spans="1:30" x14ac:dyDescent="0.3">
      <c r="A234" t="s">
        <v>53</v>
      </c>
      <c r="B234">
        <v>2019</v>
      </c>
      <c r="C234" t="s">
        <v>60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54</v>
      </c>
      <c r="B235">
        <v>2019</v>
      </c>
      <c r="C235" t="s">
        <v>60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50</v>
      </c>
      <c r="B236">
        <v>2019</v>
      </c>
      <c r="C236" t="s">
        <v>61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52</v>
      </c>
      <c r="V236">
        <v>146.4</v>
      </c>
      <c r="W236">
        <v>150.19999999999999</v>
      </c>
      <c r="X236">
        <v>152.69999999999999</v>
      </c>
      <c r="Y236">
        <v>131.4</v>
      </c>
      <c r="Z236">
        <v>148</v>
      </c>
      <c r="AA236">
        <v>159.69999999999999</v>
      </c>
      <c r="AB236">
        <v>138.80000000000001</v>
      </c>
      <c r="AC236">
        <v>144.9</v>
      </c>
      <c r="AD236">
        <v>145.69999999999999</v>
      </c>
    </row>
    <row r="237" spans="1:30" x14ac:dyDescent="0.3">
      <c r="A237" t="s">
        <v>53</v>
      </c>
      <c r="B237">
        <v>2019</v>
      </c>
      <c r="C237" t="s">
        <v>61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54</v>
      </c>
      <c r="B238">
        <v>2019</v>
      </c>
      <c r="C238" t="s">
        <v>61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50</v>
      </c>
      <c r="B239">
        <v>2019</v>
      </c>
      <c r="C239" t="s">
        <v>62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52</v>
      </c>
      <c r="V239">
        <v>146.9</v>
      </c>
      <c r="W239">
        <v>150.30000000000001</v>
      </c>
      <c r="X239">
        <v>153.4</v>
      </c>
      <c r="Y239">
        <v>131.6</v>
      </c>
      <c r="Z239">
        <v>148.30000000000001</v>
      </c>
      <c r="AA239">
        <v>160.19999999999999</v>
      </c>
      <c r="AB239">
        <v>140.19999999999999</v>
      </c>
      <c r="AC239">
        <v>145.4</v>
      </c>
      <c r="AD239">
        <v>146.69999999999999</v>
      </c>
    </row>
    <row r="240" spans="1:30" x14ac:dyDescent="0.3">
      <c r="A240" t="s">
        <v>53</v>
      </c>
      <c r="B240">
        <v>2019</v>
      </c>
      <c r="C240" t="s">
        <v>62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54</v>
      </c>
      <c r="B241">
        <v>2019</v>
      </c>
      <c r="C241" t="s">
        <v>62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50</v>
      </c>
      <c r="B242">
        <v>2019</v>
      </c>
      <c r="C242" t="s">
        <v>63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52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53</v>
      </c>
      <c r="B243">
        <v>2019</v>
      </c>
      <c r="C243" t="s">
        <v>63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54</v>
      </c>
      <c r="B244">
        <v>2019</v>
      </c>
      <c r="C244" t="s">
        <v>63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50</v>
      </c>
      <c r="B245">
        <v>2019</v>
      </c>
      <c r="C245" t="s">
        <v>65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52</v>
      </c>
      <c r="V245">
        <v>148.4</v>
      </c>
      <c r="W245">
        <v>150.9</v>
      </c>
      <c r="X245">
        <v>154.30000000000001</v>
      </c>
      <c r="Y245">
        <v>132.1</v>
      </c>
      <c r="Z245">
        <v>149.1</v>
      </c>
      <c r="AA245">
        <v>160.80000000000001</v>
      </c>
      <c r="AB245">
        <v>140.6</v>
      </c>
      <c r="AC245">
        <v>146.1</v>
      </c>
      <c r="AD245">
        <v>149.9</v>
      </c>
    </row>
    <row r="246" spans="1:30" x14ac:dyDescent="0.3">
      <c r="A246" t="s">
        <v>53</v>
      </c>
      <c r="B246">
        <v>2019</v>
      </c>
      <c r="C246" t="s">
        <v>65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54</v>
      </c>
      <c r="B247">
        <v>2019</v>
      </c>
      <c r="C247" t="s">
        <v>65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50</v>
      </c>
      <c r="B248">
        <v>2019</v>
      </c>
      <c r="C248" t="s">
        <v>66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52</v>
      </c>
      <c r="V248">
        <v>149.9</v>
      </c>
      <c r="W248">
        <v>151.19999999999999</v>
      </c>
      <c r="X248">
        <v>154.80000000000001</v>
      </c>
      <c r="Y248">
        <v>135</v>
      </c>
      <c r="Z248">
        <v>149.5</v>
      </c>
      <c r="AA248">
        <v>161.1</v>
      </c>
      <c r="AB248">
        <v>140.6</v>
      </c>
      <c r="AC248">
        <v>147.1</v>
      </c>
      <c r="AD248">
        <v>152.30000000000001</v>
      </c>
    </row>
    <row r="249" spans="1:30" x14ac:dyDescent="0.3">
      <c r="A249" t="s">
        <v>53</v>
      </c>
      <c r="B249">
        <v>2019</v>
      </c>
      <c r="C249" t="s">
        <v>66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54</v>
      </c>
      <c r="B250">
        <v>2019</v>
      </c>
      <c r="C250" t="s">
        <v>66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50</v>
      </c>
      <c r="B251">
        <v>2020</v>
      </c>
      <c r="C251" t="s">
        <v>51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52</v>
      </c>
      <c r="V251">
        <v>150.4</v>
      </c>
      <c r="W251">
        <v>151.69999999999999</v>
      </c>
      <c r="X251">
        <v>155.69999999999999</v>
      </c>
      <c r="Y251">
        <v>136.30000000000001</v>
      </c>
      <c r="Z251">
        <v>150.1</v>
      </c>
      <c r="AA251">
        <v>161.69999999999999</v>
      </c>
      <c r="AB251">
        <v>142.5</v>
      </c>
      <c r="AC251">
        <v>148.1</v>
      </c>
      <c r="AD251">
        <v>151.9</v>
      </c>
    </row>
    <row r="252" spans="1:30" x14ac:dyDescent="0.3">
      <c r="A252" t="s">
        <v>53</v>
      </c>
      <c r="B252">
        <v>2020</v>
      </c>
      <c r="C252" t="s">
        <v>51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54</v>
      </c>
      <c r="B253">
        <v>2020</v>
      </c>
      <c r="C253" t="s">
        <v>51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50</v>
      </c>
      <c r="B254">
        <v>2020</v>
      </c>
      <c r="C254" t="s">
        <v>55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52</v>
      </c>
      <c r="V254">
        <v>152.30000000000001</v>
      </c>
      <c r="W254">
        <v>151.80000000000001</v>
      </c>
      <c r="X254">
        <v>156.19999999999999</v>
      </c>
      <c r="Y254">
        <v>136</v>
      </c>
      <c r="Z254">
        <v>150.4</v>
      </c>
      <c r="AA254">
        <v>161.9</v>
      </c>
      <c r="AB254">
        <v>143.4</v>
      </c>
      <c r="AC254">
        <v>148.4</v>
      </c>
      <c r="AD254">
        <v>150.4</v>
      </c>
    </row>
    <row r="255" spans="1:30" x14ac:dyDescent="0.3">
      <c r="A255" t="s">
        <v>53</v>
      </c>
      <c r="B255">
        <v>2020</v>
      </c>
      <c r="C255" t="s">
        <v>55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54</v>
      </c>
      <c r="B256">
        <v>2020</v>
      </c>
      <c r="C256" t="s">
        <v>55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50</v>
      </c>
      <c r="B257">
        <v>2020</v>
      </c>
      <c r="C257" t="s">
        <v>56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52</v>
      </c>
      <c r="V257">
        <v>153.4</v>
      </c>
      <c r="W257">
        <v>151.5</v>
      </c>
      <c r="X257">
        <v>156.69999999999999</v>
      </c>
      <c r="Y257">
        <v>135.80000000000001</v>
      </c>
      <c r="Z257">
        <v>151.19999999999999</v>
      </c>
      <c r="AA257">
        <v>161.19999999999999</v>
      </c>
      <c r="AB257">
        <v>145.1</v>
      </c>
      <c r="AC257">
        <v>148.6</v>
      </c>
      <c r="AD257">
        <v>149.80000000000001</v>
      </c>
    </row>
    <row r="258" spans="1:30" x14ac:dyDescent="0.3">
      <c r="A258" t="s">
        <v>53</v>
      </c>
      <c r="B258">
        <v>2020</v>
      </c>
      <c r="C258" t="s">
        <v>56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54</v>
      </c>
      <c r="B259">
        <v>2020</v>
      </c>
      <c r="C259" t="s">
        <v>56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50</v>
      </c>
      <c r="B260">
        <v>2020</v>
      </c>
      <c r="C260" t="s">
        <v>57</v>
      </c>
      <c r="D260">
        <v>147.19999999999999</v>
      </c>
      <c r="E260" t="s">
        <v>52</v>
      </c>
      <c r="F260">
        <v>146.9</v>
      </c>
      <c r="G260">
        <v>155.6</v>
      </c>
      <c r="H260">
        <v>137.1</v>
      </c>
      <c r="I260">
        <v>147.30000000000001</v>
      </c>
      <c r="J260">
        <v>162.69999999999999</v>
      </c>
      <c r="K260">
        <v>150.19999999999999</v>
      </c>
      <c r="L260">
        <v>119.8</v>
      </c>
      <c r="M260">
        <v>158.69999999999999</v>
      </c>
      <c r="N260">
        <v>139.19999999999999</v>
      </c>
      <c r="O260" t="s">
        <v>52</v>
      </c>
      <c r="P260">
        <v>150.1</v>
      </c>
      <c r="Q260" t="s">
        <v>52</v>
      </c>
      <c r="R260" t="s">
        <v>52</v>
      </c>
      <c r="S260" t="s">
        <v>52</v>
      </c>
      <c r="T260" t="s">
        <v>52</v>
      </c>
      <c r="U260" t="s">
        <v>52</v>
      </c>
      <c r="V260">
        <v>148.4</v>
      </c>
      <c r="W260" t="s">
        <v>52</v>
      </c>
      <c r="X260">
        <v>154.30000000000001</v>
      </c>
      <c r="Y260" t="s">
        <v>52</v>
      </c>
      <c r="Z260" t="s">
        <v>52</v>
      </c>
      <c r="AA260" t="s">
        <v>52</v>
      </c>
      <c r="AB260" t="s">
        <v>52</v>
      </c>
      <c r="AC260" t="s">
        <v>52</v>
      </c>
      <c r="AD260" t="s">
        <v>52</v>
      </c>
    </row>
    <row r="261" spans="1:30" x14ac:dyDescent="0.3">
      <c r="A261" t="s">
        <v>53</v>
      </c>
      <c r="B261">
        <v>2020</v>
      </c>
      <c r="C261" t="s">
        <v>57</v>
      </c>
      <c r="D261">
        <v>151.80000000000001</v>
      </c>
      <c r="E261" t="s">
        <v>52</v>
      </c>
      <c r="F261">
        <v>151.9</v>
      </c>
      <c r="G261">
        <v>155.5</v>
      </c>
      <c r="H261">
        <v>131.6</v>
      </c>
      <c r="I261">
        <v>152.9</v>
      </c>
      <c r="J261">
        <v>180</v>
      </c>
      <c r="K261">
        <v>150.80000000000001</v>
      </c>
      <c r="L261">
        <v>121.2</v>
      </c>
      <c r="M261">
        <v>154</v>
      </c>
      <c r="N261">
        <v>133.5</v>
      </c>
      <c r="O261" t="s">
        <v>52</v>
      </c>
      <c r="P261">
        <v>153.5</v>
      </c>
      <c r="Q261" t="s">
        <v>52</v>
      </c>
      <c r="R261" t="s">
        <v>52</v>
      </c>
      <c r="S261" t="s">
        <v>52</v>
      </c>
      <c r="T261" t="s">
        <v>52</v>
      </c>
      <c r="U261">
        <v>155.6</v>
      </c>
      <c r="V261">
        <v>137.1</v>
      </c>
      <c r="W261" t="s">
        <v>52</v>
      </c>
      <c r="X261">
        <v>144.80000000000001</v>
      </c>
      <c r="Y261" t="s">
        <v>52</v>
      </c>
      <c r="Z261" t="s">
        <v>52</v>
      </c>
      <c r="AA261" t="s">
        <v>52</v>
      </c>
      <c r="AB261" t="s">
        <v>52</v>
      </c>
      <c r="AC261" t="s">
        <v>52</v>
      </c>
      <c r="AD261" t="s">
        <v>52</v>
      </c>
    </row>
    <row r="262" spans="1:30" x14ac:dyDescent="0.3">
      <c r="A262" t="s">
        <v>54</v>
      </c>
      <c r="B262">
        <v>2020</v>
      </c>
      <c r="C262" t="s">
        <v>57</v>
      </c>
      <c r="D262">
        <v>148.69999999999999</v>
      </c>
      <c r="E262" t="s">
        <v>52</v>
      </c>
      <c r="F262">
        <v>148.80000000000001</v>
      </c>
      <c r="G262">
        <v>155.6</v>
      </c>
      <c r="H262">
        <v>135.1</v>
      </c>
      <c r="I262">
        <v>149.9</v>
      </c>
      <c r="J262">
        <v>168.6</v>
      </c>
      <c r="K262">
        <v>150.4</v>
      </c>
      <c r="L262">
        <v>120.3</v>
      </c>
      <c r="M262">
        <v>157.1</v>
      </c>
      <c r="N262">
        <v>136.80000000000001</v>
      </c>
      <c r="O262" t="s">
        <v>52</v>
      </c>
      <c r="P262">
        <v>151.4</v>
      </c>
      <c r="Q262" t="s">
        <v>52</v>
      </c>
      <c r="R262" t="s">
        <v>52</v>
      </c>
      <c r="S262" t="s">
        <v>52</v>
      </c>
      <c r="T262" t="s">
        <v>52</v>
      </c>
      <c r="U262">
        <v>155.6</v>
      </c>
      <c r="V262">
        <v>144.1</v>
      </c>
      <c r="W262" t="s">
        <v>52</v>
      </c>
      <c r="X262">
        <v>150.69999999999999</v>
      </c>
      <c r="Y262" t="s">
        <v>52</v>
      </c>
      <c r="Z262" t="s">
        <v>52</v>
      </c>
      <c r="AA262" t="s">
        <v>52</v>
      </c>
      <c r="AB262" t="s">
        <v>52</v>
      </c>
      <c r="AC262" t="s">
        <v>52</v>
      </c>
      <c r="AD262" t="s">
        <v>52</v>
      </c>
    </row>
    <row r="263" spans="1:30" x14ac:dyDescent="0.3">
      <c r="A263" t="s">
        <v>50</v>
      </c>
      <c r="B263">
        <v>2020</v>
      </c>
      <c r="C263" t="s">
        <v>58</v>
      </c>
      <c r="D263" t="s">
        <v>52</v>
      </c>
      <c r="E263" t="s">
        <v>52</v>
      </c>
      <c r="F263" t="s">
        <v>52</v>
      </c>
      <c r="G263" t="s">
        <v>52</v>
      </c>
      <c r="H263" t="s">
        <v>52</v>
      </c>
      <c r="I263" t="s">
        <v>52</v>
      </c>
      <c r="J263" t="s">
        <v>52</v>
      </c>
      <c r="K263" t="s">
        <v>52</v>
      </c>
      <c r="L263" t="s">
        <v>52</v>
      </c>
      <c r="M263" t="s">
        <v>52</v>
      </c>
      <c r="N263" t="s">
        <v>52</v>
      </c>
      <c r="O263" t="s">
        <v>52</v>
      </c>
      <c r="P263" t="s">
        <v>52</v>
      </c>
      <c r="Q263" t="s">
        <v>52</v>
      </c>
      <c r="R263" t="s">
        <v>52</v>
      </c>
      <c r="S263" t="s">
        <v>52</v>
      </c>
      <c r="T263" t="s">
        <v>52</v>
      </c>
      <c r="U263" t="s">
        <v>52</v>
      </c>
      <c r="V263" t="s">
        <v>52</v>
      </c>
      <c r="W263" t="s">
        <v>52</v>
      </c>
      <c r="X263" t="s">
        <v>52</v>
      </c>
      <c r="Y263" t="s">
        <v>52</v>
      </c>
      <c r="Z263" t="s">
        <v>52</v>
      </c>
      <c r="AA263" t="s">
        <v>52</v>
      </c>
      <c r="AB263" t="s">
        <v>52</v>
      </c>
      <c r="AC263" t="s">
        <v>52</v>
      </c>
      <c r="AD263" t="s">
        <v>52</v>
      </c>
    </row>
    <row r="264" spans="1:30" x14ac:dyDescent="0.3">
      <c r="A264" t="s">
        <v>53</v>
      </c>
      <c r="B264">
        <v>2020</v>
      </c>
      <c r="C264" t="s">
        <v>58</v>
      </c>
      <c r="D264" t="s">
        <v>52</v>
      </c>
      <c r="E264" t="s">
        <v>52</v>
      </c>
      <c r="F264" t="s">
        <v>52</v>
      </c>
      <c r="G264" t="s">
        <v>52</v>
      </c>
      <c r="H264" t="s">
        <v>52</v>
      </c>
      <c r="I264" t="s">
        <v>52</v>
      </c>
      <c r="J264" t="s">
        <v>52</v>
      </c>
      <c r="K264" t="s">
        <v>52</v>
      </c>
      <c r="L264" t="s">
        <v>52</v>
      </c>
      <c r="M264" t="s">
        <v>52</v>
      </c>
      <c r="N264" t="s">
        <v>52</v>
      </c>
      <c r="O264" t="s">
        <v>52</v>
      </c>
      <c r="P264" t="s">
        <v>52</v>
      </c>
      <c r="Q264" t="s">
        <v>52</v>
      </c>
      <c r="R264" t="s">
        <v>52</v>
      </c>
      <c r="S264" t="s">
        <v>52</v>
      </c>
      <c r="T264" t="s">
        <v>52</v>
      </c>
      <c r="U264" t="s">
        <v>52</v>
      </c>
      <c r="V264" t="s">
        <v>52</v>
      </c>
      <c r="W264" t="s">
        <v>52</v>
      </c>
      <c r="X264" t="s">
        <v>52</v>
      </c>
      <c r="Y264" t="s">
        <v>52</v>
      </c>
      <c r="Z264" t="s">
        <v>52</v>
      </c>
      <c r="AA264" t="s">
        <v>52</v>
      </c>
      <c r="AB264" t="s">
        <v>52</v>
      </c>
      <c r="AC264" t="s">
        <v>52</v>
      </c>
      <c r="AD264" t="s">
        <v>52</v>
      </c>
    </row>
    <row r="265" spans="1:30" x14ac:dyDescent="0.3">
      <c r="A265" t="s">
        <v>54</v>
      </c>
      <c r="B265">
        <v>2020</v>
      </c>
      <c r="C265" t="s">
        <v>58</v>
      </c>
      <c r="D265" t="s">
        <v>52</v>
      </c>
      <c r="E265" t="s">
        <v>52</v>
      </c>
      <c r="F265" t="s">
        <v>52</v>
      </c>
      <c r="G265" t="s">
        <v>52</v>
      </c>
      <c r="H265" t="s">
        <v>52</v>
      </c>
      <c r="I265" t="s">
        <v>52</v>
      </c>
      <c r="J265" t="s">
        <v>52</v>
      </c>
      <c r="K265" t="s">
        <v>52</v>
      </c>
      <c r="L265" t="s">
        <v>52</v>
      </c>
      <c r="M265" t="s">
        <v>52</v>
      </c>
      <c r="N265" t="s">
        <v>52</v>
      </c>
      <c r="O265" t="s">
        <v>52</v>
      </c>
      <c r="P265" t="s">
        <v>52</v>
      </c>
      <c r="Q265" t="s">
        <v>52</v>
      </c>
      <c r="R265" t="s">
        <v>52</v>
      </c>
      <c r="S265" t="s">
        <v>52</v>
      </c>
      <c r="T265" t="s">
        <v>52</v>
      </c>
      <c r="U265" t="s">
        <v>52</v>
      </c>
      <c r="V265" t="s">
        <v>52</v>
      </c>
      <c r="W265" t="s">
        <v>52</v>
      </c>
      <c r="X265" t="s">
        <v>52</v>
      </c>
      <c r="Y265" t="s">
        <v>52</v>
      </c>
      <c r="Z265" t="s">
        <v>52</v>
      </c>
      <c r="AA265" t="s">
        <v>52</v>
      </c>
      <c r="AB265" t="s">
        <v>52</v>
      </c>
      <c r="AC265" t="s">
        <v>52</v>
      </c>
      <c r="AD265" t="s">
        <v>52</v>
      </c>
    </row>
    <row r="266" spans="1:30" x14ac:dyDescent="0.3">
      <c r="A266" t="s">
        <v>50</v>
      </c>
      <c r="B266">
        <v>2020</v>
      </c>
      <c r="C266" t="s">
        <v>59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52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53</v>
      </c>
      <c r="B267">
        <v>2020</v>
      </c>
      <c r="C267" t="s">
        <v>59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54</v>
      </c>
      <c r="B268">
        <v>2020</v>
      </c>
      <c r="C268" t="s">
        <v>59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50</v>
      </c>
      <c r="B269">
        <v>2020</v>
      </c>
      <c r="C269" t="s">
        <v>60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52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53</v>
      </c>
      <c r="B270">
        <v>2020</v>
      </c>
      <c r="C270" t="s">
        <v>60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54</v>
      </c>
      <c r="B271">
        <v>2020</v>
      </c>
      <c r="C271" t="s">
        <v>60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50</v>
      </c>
      <c r="B272">
        <v>2020</v>
      </c>
      <c r="C272" t="s">
        <v>61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52</v>
      </c>
      <c r="V272">
        <v>145.80000000000001</v>
      </c>
      <c r="W272">
        <v>151.9</v>
      </c>
      <c r="X272">
        <v>158.80000000000001</v>
      </c>
      <c r="Y272">
        <v>143.6</v>
      </c>
      <c r="Z272">
        <v>152.19999999999999</v>
      </c>
      <c r="AA272">
        <v>162.69999999999999</v>
      </c>
      <c r="AB272">
        <v>153.6</v>
      </c>
      <c r="AC272">
        <v>153</v>
      </c>
      <c r="AD272">
        <v>154.69999999999999</v>
      </c>
    </row>
    <row r="273" spans="1:30" x14ac:dyDescent="0.3">
      <c r="A273" t="s">
        <v>53</v>
      </c>
      <c r="B273">
        <v>2020</v>
      </c>
      <c r="C273" t="s">
        <v>61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54</v>
      </c>
      <c r="B274">
        <v>2020</v>
      </c>
      <c r="C274" t="s">
        <v>61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50</v>
      </c>
      <c r="B275">
        <v>2020</v>
      </c>
      <c r="C275" t="s">
        <v>62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52</v>
      </c>
      <c r="V275">
        <v>146.4</v>
      </c>
      <c r="W275">
        <v>151.6</v>
      </c>
      <c r="X275">
        <v>159.1</v>
      </c>
      <c r="Y275">
        <v>144.6</v>
      </c>
      <c r="Z275">
        <v>152.80000000000001</v>
      </c>
      <c r="AA275">
        <v>161.1</v>
      </c>
      <c r="AB275">
        <v>157.4</v>
      </c>
      <c r="AC275">
        <v>153.69999999999999</v>
      </c>
      <c r="AD275">
        <v>155.4</v>
      </c>
    </row>
    <row r="276" spans="1:30" x14ac:dyDescent="0.3">
      <c r="A276" t="s">
        <v>53</v>
      </c>
      <c r="B276">
        <v>2020</v>
      </c>
      <c r="C276" t="s">
        <v>62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54</v>
      </c>
      <c r="B277">
        <v>2020</v>
      </c>
      <c r="C277" t="s">
        <v>62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50</v>
      </c>
      <c r="B278">
        <v>2020</v>
      </c>
      <c r="C278" t="s">
        <v>63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52</v>
      </c>
      <c r="V278">
        <v>146.80000000000001</v>
      </c>
      <c r="W278">
        <v>152</v>
      </c>
      <c r="X278">
        <v>159.5</v>
      </c>
      <c r="Y278">
        <v>146.4</v>
      </c>
      <c r="Z278">
        <v>152.4</v>
      </c>
      <c r="AA278">
        <v>162.5</v>
      </c>
      <c r="AB278">
        <v>156.19999999999999</v>
      </c>
      <c r="AC278">
        <v>154.30000000000001</v>
      </c>
      <c r="AD278">
        <v>157.5</v>
      </c>
    </row>
    <row r="279" spans="1:30" x14ac:dyDescent="0.3">
      <c r="A279" t="s">
        <v>53</v>
      </c>
      <c r="B279">
        <v>2020</v>
      </c>
      <c r="C279" t="s">
        <v>63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54</v>
      </c>
      <c r="B280">
        <v>2020</v>
      </c>
      <c r="C280" t="s">
        <v>63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50</v>
      </c>
      <c r="B281">
        <v>2020</v>
      </c>
      <c r="C281" t="s">
        <v>65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52</v>
      </c>
      <c r="V281">
        <v>147.5</v>
      </c>
      <c r="W281">
        <v>152.80000000000001</v>
      </c>
      <c r="X281">
        <v>160.4</v>
      </c>
      <c r="Y281">
        <v>146.1</v>
      </c>
      <c r="Z281">
        <v>153.6</v>
      </c>
      <c r="AA281">
        <v>161.6</v>
      </c>
      <c r="AB281">
        <v>156.19999999999999</v>
      </c>
      <c r="AC281">
        <v>154.5</v>
      </c>
      <c r="AD281">
        <v>159.80000000000001</v>
      </c>
    </row>
    <row r="282" spans="1:30" x14ac:dyDescent="0.3">
      <c r="A282" t="s">
        <v>53</v>
      </c>
      <c r="B282">
        <v>2020</v>
      </c>
      <c r="C282" t="s">
        <v>65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54</v>
      </c>
      <c r="B283">
        <v>2020</v>
      </c>
      <c r="C283" t="s">
        <v>65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50</v>
      </c>
      <c r="B284">
        <v>2020</v>
      </c>
      <c r="C284" t="s">
        <v>66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52</v>
      </c>
      <c r="V284">
        <v>148.69999999999999</v>
      </c>
      <c r="W284">
        <v>153.4</v>
      </c>
      <c r="X284">
        <v>161.6</v>
      </c>
      <c r="Y284">
        <v>146.4</v>
      </c>
      <c r="Z284">
        <v>153.9</v>
      </c>
      <c r="AA284">
        <v>162.9</v>
      </c>
      <c r="AB284">
        <v>156.6</v>
      </c>
      <c r="AC284">
        <v>155.19999999999999</v>
      </c>
      <c r="AD284">
        <v>160.69999999999999</v>
      </c>
    </row>
    <row r="285" spans="1:30" x14ac:dyDescent="0.3">
      <c r="A285" t="s">
        <v>53</v>
      </c>
      <c r="B285">
        <v>2020</v>
      </c>
      <c r="C285" t="s">
        <v>66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54</v>
      </c>
      <c r="B286">
        <v>2020</v>
      </c>
      <c r="C286" t="s">
        <v>66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50</v>
      </c>
      <c r="B287">
        <v>2021</v>
      </c>
      <c r="C287" t="s">
        <v>51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52</v>
      </c>
      <c r="V287">
        <v>150.9</v>
      </c>
      <c r="W287">
        <v>153.9</v>
      </c>
      <c r="X287">
        <v>162.5</v>
      </c>
      <c r="Y287">
        <v>147.5</v>
      </c>
      <c r="Z287">
        <v>155.1</v>
      </c>
      <c r="AA287">
        <v>163.5</v>
      </c>
      <c r="AB287">
        <v>156.19999999999999</v>
      </c>
      <c r="AC287">
        <v>155.9</v>
      </c>
      <c r="AD287">
        <v>158.5</v>
      </c>
    </row>
    <row r="288" spans="1:30" x14ac:dyDescent="0.3">
      <c r="A288" t="s">
        <v>53</v>
      </c>
      <c r="B288">
        <v>2021</v>
      </c>
      <c r="C288" t="s">
        <v>51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54</v>
      </c>
      <c r="B289">
        <v>2021</v>
      </c>
      <c r="C289" t="s">
        <v>51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50</v>
      </c>
      <c r="B290">
        <v>2021</v>
      </c>
      <c r="C290" t="s">
        <v>55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52</v>
      </c>
      <c r="V290">
        <v>154.4</v>
      </c>
      <c r="W290">
        <v>154.80000000000001</v>
      </c>
      <c r="X290">
        <v>164.3</v>
      </c>
      <c r="Y290">
        <v>150.19999999999999</v>
      </c>
      <c r="Z290">
        <v>157</v>
      </c>
      <c r="AA290">
        <v>163.6</v>
      </c>
      <c r="AB290">
        <v>155.19999999999999</v>
      </c>
      <c r="AC290">
        <v>157.19999999999999</v>
      </c>
      <c r="AD290">
        <v>156.69999999999999</v>
      </c>
    </row>
    <row r="291" spans="1:30" x14ac:dyDescent="0.3">
      <c r="A291" t="s">
        <v>53</v>
      </c>
      <c r="B291">
        <v>2021</v>
      </c>
      <c r="C291" t="s">
        <v>55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54</v>
      </c>
      <c r="B292">
        <v>2021</v>
      </c>
      <c r="C292" t="s">
        <v>55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50</v>
      </c>
      <c r="B293">
        <v>2021</v>
      </c>
      <c r="C293" t="s">
        <v>56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68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53</v>
      </c>
      <c r="B294">
        <v>2021</v>
      </c>
      <c r="C294" t="s">
        <v>56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54</v>
      </c>
      <c r="B295">
        <v>2021</v>
      </c>
      <c r="C295" t="s">
        <v>56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50</v>
      </c>
      <c r="B296">
        <v>2021</v>
      </c>
      <c r="C296" t="s">
        <v>57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68</v>
      </c>
      <c r="V296">
        <v>156</v>
      </c>
      <c r="W296">
        <v>155.5</v>
      </c>
      <c r="X296">
        <v>165.3</v>
      </c>
      <c r="Y296">
        <v>151.69999999999999</v>
      </c>
      <c r="Z296">
        <v>158.6</v>
      </c>
      <c r="AA296">
        <v>164.1</v>
      </c>
      <c r="AB296">
        <v>154.6</v>
      </c>
      <c r="AC296">
        <v>158</v>
      </c>
      <c r="AD296">
        <v>157.6</v>
      </c>
    </row>
    <row r="297" spans="1:30" x14ac:dyDescent="0.3">
      <c r="A297" t="s">
        <v>53</v>
      </c>
      <c r="B297">
        <v>2021</v>
      </c>
      <c r="C297" t="s">
        <v>57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54</v>
      </c>
      <c r="B298">
        <v>2021</v>
      </c>
      <c r="C298" t="s">
        <v>57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50</v>
      </c>
      <c r="B299">
        <v>2021</v>
      </c>
      <c r="C299" t="s">
        <v>58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52</v>
      </c>
      <c r="V299">
        <v>161.69999999999999</v>
      </c>
      <c r="W299">
        <v>158.80000000000001</v>
      </c>
      <c r="X299">
        <v>169.1</v>
      </c>
      <c r="Y299">
        <v>153.19999999999999</v>
      </c>
      <c r="Z299">
        <v>160</v>
      </c>
      <c r="AA299">
        <v>167.6</v>
      </c>
      <c r="AB299">
        <v>159.30000000000001</v>
      </c>
      <c r="AC299">
        <v>161.1</v>
      </c>
      <c r="AD299">
        <v>161.1</v>
      </c>
    </row>
    <row r="300" spans="1:30" x14ac:dyDescent="0.3">
      <c r="A300" t="s">
        <v>53</v>
      </c>
      <c r="B300">
        <v>2021</v>
      </c>
      <c r="C300" t="s">
        <v>58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54</v>
      </c>
      <c r="B301">
        <v>2021</v>
      </c>
      <c r="C301" t="s">
        <v>58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50</v>
      </c>
      <c r="B302">
        <v>2021</v>
      </c>
      <c r="C302" t="s">
        <v>59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52</v>
      </c>
      <c r="V302">
        <v>162.1</v>
      </c>
      <c r="W302">
        <v>159.19999999999999</v>
      </c>
      <c r="X302">
        <v>169.7</v>
      </c>
      <c r="Y302">
        <v>154.19999999999999</v>
      </c>
      <c r="Z302">
        <v>160.4</v>
      </c>
      <c r="AA302">
        <v>166.8</v>
      </c>
      <c r="AB302">
        <v>159.4</v>
      </c>
      <c r="AC302">
        <v>161.5</v>
      </c>
      <c r="AD302">
        <v>162.1</v>
      </c>
    </row>
    <row r="303" spans="1:30" x14ac:dyDescent="0.3">
      <c r="A303" t="s">
        <v>53</v>
      </c>
      <c r="B303">
        <v>2021</v>
      </c>
      <c r="C303" t="s">
        <v>59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54</v>
      </c>
      <c r="B304">
        <v>2021</v>
      </c>
      <c r="C304" t="s">
        <v>59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50</v>
      </c>
      <c r="B305">
        <v>2021</v>
      </c>
      <c r="C305" t="s">
        <v>60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52</v>
      </c>
      <c r="V305">
        <v>162.5</v>
      </c>
      <c r="W305">
        <v>160.30000000000001</v>
      </c>
      <c r="X305">
        <v>170.4</v>
      </c>
      <c r="Y305">
        <v>157.1</v>
      </c>
      <c r="Z305">
        <v>160.69999999999999</v>
      </c>
      <c r="AA305">
        <v>167.2</v>
      </c>
      <c r="AB305">
        <v>160.4</v>
      </c>
      <c r="AC305">
        <v>162.80000000000001</v>
      </c>
      <c r="AD305">
        <v>163.19999999999999</v>
      </c>
    </row>
    <row r="306" spans="1:30" x14ac:dyDescent="0.3">
      <c r="A306" t="s">
        <v>53</v>
      </c>
      <c r="B306">
        <v>2021</v>
      </c>
      <c r="C306" t="s">
        <v>60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54</v>
      </c>
      <c r="B307">
        <v>2021</v>
      </c>
      <c r="C307" t="s">
        <v>60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50</v>
      </c>
      <c r="B308">
        <v>2021</v>
      </c>
      <c r="C308" t="s">
        <v>61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52</v>
      </c>
      <c r="V308">
        <v>163.1</v>
      </c>
      <c r="W308">
        <v>160.9</v>
      </c>
      <c r="X308">
        <v>171.1</v>
      </c>
      <c r="Y308">
        <v>157.69999999999999</v>
      </c>
      <c r="Z308">
        <v>161.1</v>
      </c>
      <c r="AA308">
        <v>167.5</v>
      </c>
      <c r="AB308">
        <v>160.30000000000001</v>
      </c>
      <c r="AC308">
        <v>163.30000000000001</v>
      </c>
      <c r="AD308">
        <v>163.6</v>
      </c>
    </row>
    <row r="309" spans="1:30" x14ac:dyDescent="0.3">
      <c r="A309" t="s">
        <v>53</v>
      </c>
      <c r="B309">
        <v>2021</v>
      </c>
      <c r="C309" t="s">
        <v>61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54</v>
      </c>
      <c r="B310">
        <v>2021</v>
      </c>
      <c r="C310" t="s">
        <v>61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50</v>
      </c>
      <c r="B311">
        <v>2021</v>
      </c>
      <c r="C311" t="s">
        <v>62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52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53</v>
      </c>
      <c r="B312">
        <v>2021</v>
      </c>
      <c r="C312" t="s">
        <v>62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54</v>
      </c>
      <c r="B313">
        <v>2021</v>
      </c>
      <c r="C313" t="s">
        <v>62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50</v>
      </c>
      <c r="B314">
        <v>2021</v>
      </c>
      <c r="C314" t="s">
        <v>63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52</v>
      </c>
      <c r="V314">
        <v>165.5</v>
      </c>
      <c r="W314">
        <v>162</v>
      </c>
      <c r="X314">
        <v>172.5</v>
      </c>
      <c r="Y314">
        <v>159.5</v>
      </c>
      <c r="Z314">
        <v>163.19999999999999</v>
      </c>
      <c r="AA314">
        <v>169</v>
      </c>
      <c r="AB314">
        <v>161.1</v>
      </c>
      <c r="AC314">
        <v>164.7</v>
      </c>
      <c r="AD314">
        <v>166.3</v>
      </c>
    </row>
    <row r="315" spans="1:30" x14ac:dyDescent="0.3">
      <c r="A315" t="s">
        <v>53</v>
      </c>
      <c r="B315">
        <v>2021</v>
      </c>
      <c r="C315" t="s">
        <v>63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54</v>
      </c>
      <c r="B316">
        <v>2021</v>
      </c>
      <c r="C316" t="s">
        <v>63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50</v>
      </c>
      <c r="B317">
        <v>2021</v>
      </c>
      <c r="C317" t="s">
        <v>65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52</v>
      </c>
      <c r="V317">
        <v>165.3</v>
      </c>
      <c r="W317">
        <v>162.9</v>
      </c>
      <c r="X317">
        <v>173.4</v>
      </c>
      <c r="Y317">
        <v>158.9</v>
      </c>
      <c r="Z317">
        <v>163.80000000000001</v>
      </c>
      <c r="AA317">
        <v>169.3</v>
      </c>
      <c r="AB317">
        <v>162.4</v>
      </c>
      <c r="AC317">
        <v>165.2</v>
      </c>
      <c r="AD317">
        <v>167.6</v>
      </c>
    </row>
    <row r="318" spans="1:30" x14ac:dyDescent="0.3">
      <c r="A318" t="s">
        <v>53</v>
      </c>
      <c r="B318">
        <v>2021</v>
      </c>
      <c r="C318" t="s">
        <v>65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54</v>
      </c>
      <c r="B319">
        <v>2021</v>
      </c>
      <c r="C319" t="s">
        <v>65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50</v>
      </c>
      <c r="B320">
        <v>2021</v>
      </c>
      <c r="C320" t="s">
        <v>66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52</v>
      </c>
      <c r="V320">
        <v>165.6</v>
      </c>
      <c r="W320">
        <v>163.9</v>
      </c>
      <c r="X320">
        <v>174</v>
      </c>
      <c r="Y320">
        <v>160.1</v>
      </c>
      <c r="Z320">
        <v>164.5</v>
      </c>
      <c r="AA320">
        <v>169.7</v>
      </c>
      <c r="AB320">
        <v>162.80000000000001</v>
      </c>
      <c r="AC320">
        <v>166</v>
      </c>
      <c r="AD320">
        <v>167</v>
      </c>
    </row>
    <row r="321" spans="1:30" x14ac:dyDescent="0.3">
      <c r="A321" t="s">
        <v>53</v>
      </c>
      <c r="B321">
        <v>2021</v>
      </c>
      <c r="C321" t="s">
        <v>66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54</v>
      </c>
      <c r="B322">
        <v>2021</v>
      </c>
      <c r="C322" t="s">
        <v>66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50</v>
      </c>
      <c r="B323">
        <v>2022</v>
      </c>
      <c r="C323" t="s">
        <v>51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52</v>
      </c>
      <c r="V323">
        <v>165.8</v>
      </c>
      <c r="W323">
        <v>164.9</v>
      </c>
      <c r="X323">
        <v>174.7</v>
      </c>
      <c r="Y323">
        <v>160.80000000000001</v>
      </c>
      <c r="Z323">
        <v>164.9</v>
      </c>
      <c r="AA323">
        <v>169.9</v>
      </c>
      <c r="AB323">
        <v>163.19999999999999</v>
      </c>
      <c r="AC323">
        <v>166.6</v>
      </c>
      <c r="AD323">
        <v>166.4</v>
      </c>
    </row>
    <row r="324" spans="1:30" x14ac:dyDescent="0.3">
      <c r="A324" t="s">
        <v>53</v>
      </c>
      <c r="B324">
        <v>2022</v>
      </c>
      <c r="C324" t="s">
        <v>51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54</v>
      </c>
      <c r="B325">
        <v>2022</v>
      </c>
      <c r="C325" t="s">
        <v>51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50</v>
      </c>
      <c r="B326">
        <v>2022</v>
      </c>
      <c r="C326" t="s">
        <v>55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52</v>
      </c>
      <c r="V326">
        <v>167.4</v>
      </c>
      <c r="W326">
        <v>165.7</v>
      </c>
      <c r="X326">
        <v>175.3</v>
      </c>
      <c r="Y326">
        <v>161.19999999999999</v>
      </c>
      <c r="Z326">
        <v>165.5</v>
      </c>
      <c r="AA326">
        <v>170.3</v>
      </c>
      <c r="AB326">
        <v>164.5</v>
      </c>
      <c r="AC326">
        <v>167.3</v>
      </c>
      <c r="AD326">
        <v>166.7</v>
      </c>
    </row>
    <row r="327" spans="1:30" x14ac:dyDescent="0.3">
      <c r="A327" t="s">
        <v>53</v>
      </c>
      <c r="B327">
        <v>2022</v>
      </c>
      <c r="C327" t="s">
        <v>55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54</v>
      </c>
      <c r="B328">
        <v>2022</v>
      </c>
      <c r="C328" t="s">
        <v>55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50</v>
      </c>
      <c r="B329">
        <v>2022</v>
      </c>
      <c r="C329" t="s">
        <v>56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52</v>
      </c>
      <c r="V329">
        <v>168.9</v>
      </c>
      <c r="W329">
        <v>166.5</v>
      </c>
      <c r="X329">
        <v>176</v>
      </c>
      <c r="Y329">
        <v>162</v>
      </c>
      <c r="Z329">
        <v>166.6</v>
      </c>
      <c r="AA329">
        <v>170.6</v>
      </c>
      <c r="AB329">
        <v>167.4</v>
      </c>
      <c r="AC329">
        <v>168.3</v>
      </c>
      <c r="AD329">
        <v>168.7</v>
      </c>
    </row>
    <row r="330" spans="1:30" x14ac:dyDescent="0.3">
      <c r="A330" t="s">
        <v>53</v>
      </c>
      <c r="B330">
        <v>2022</v>
      </c>
      <c r="C330" t="s">
        <v>56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54</v>
      </c>
      <c r="B331">
        <v>2022</v>
      </c>
      <c r="C331" t="s">
        <v>56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50</v>
      </c>
      <c r="B332">
        <v>2022</v>
      </c>
      <c r="C332" t="s">
        <v>57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52</v>
      </c>
      <c r="V332">
        <v>173.3</v>
      </c>
      <c r="W332">
        <v>167.7</v>
      </c>
      <c r="X332">
        <v>177</v>
      </c>
      <c r="Y332">
        <v>166.2</v>
      </c>
      <c r="Z332">
        <v>167.2</v>
      </c>
      <c r="AA332">
        <v>170.9</v>
      </c>
      <c r="AB332">
        <v>169</v>
      </c>
      <c r="AC332">
        <v>170.2</v>
      </c>
      <c r="AD332">
        <v>170.8</v>
      </c>
    </row>
    <row r="333" spans="1:30" x14ac:dyDescent="0.3">
      <c r="A333" t="s">
        <v>53</v>
      </c>
      <c r="B333">
        <v>2022</v>
      </c>
      <c r="C333" t="s">
        <v>57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54</v>
      </c>
      <c r="B334">
        <v>2022</v>
      </c>
      <c r="C334" t="s">
        <v>57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50</v>
      </c>
      <c r="B335">
        <v>2022</v>
      </c>
      <c r="C335" t="s">
        <v>58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52</v>
      </c>
      <c r="V335">
        <v>175.3</v>
      </c>
      <c r="W335">
        <v>168.9</v>
      </c>
      <c r="X335">
        <v>177.7</v>
      </c>
      <c r="Y335">
        <v>167.1</v>
      </c>
      <c r="Z335">
        <v>167.6</v>
      </c>
      <c r="AA335">
        <v>171.8</v>
      </c>
      <c r="AB335">
        <v>168.5</v>
      </c>
      <c r="AC335">
        <v>170.9</v>
      </c>
      <c r="AD335">
        <v>172.5</v>
      </c>
    </row>
    <row r="336" spans="1:30" x14ac:dyDescent="0.3">
      <c r="A336" t="s">
        <v>53</v>
      </c>
      <c r="B336">
        <v>2022</v>
      </c>
      <c r="C336" t="s">
        <v>58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54</v>
      </c>
      <c r="B337">
        <v>2022</v>
      </c>
      <c r="C337" t="s">
        <v>58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50</v>
      </c>
      <c r="B338">
        <v>2022</v>
      </c>
      <c r="C338" t="s">
        <v>59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52</v>
      </c>
      <c r="V338">
        <v>176.7</v>
      </c>
      <c r="W338">
        <v>170.3</v>
      </c>
      <c r="X338">
        <v>178.2</v>
      </c>
      <c r="Y338">
        <v>165.5</v>
      </c>
      <c r="Z338">
        <v>168</v>
      </c>
      <c r="AA338">
        <v>172.6</v>
      </c>
      <c r="AB338">
        <v>169.5</v>
      </c>
      <c r="AC338">
        <v>171</v>
      </c>
      <c r="AD338">
        <v>173.6</v>
      </c>
    </row>
    <row r="339" spans="1:30" x14ac:dyDescent="0.3">
      <c r="A339" t="s">
        <v>53</v>
      </c>
      <c r="B339">
        <v>2022</v>
      </c>
      <c r="C339" t="s">
        <v>59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54</v>
      </c>
      <c r="B340">
        <v>2022</v>
      </c>
      <c r="C340" t="s">
        <v>59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50</v>
      </c>
      <c r="B341">
        <v>2022</v>
      </c>
      <c r="C341" t="s">
        <v>60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52</v>
      </c>
      <c r="V341">
        <v>179.6</v>
      </c>
      <c r="W341">
        <v>171.3</v>
      </c>
      <c r="X341">
        <v>178.8</v>
      </c>
      <c r="Y341">
        <v>166.3</v>
      </c>
      <c r="Z341">
        <v>168.6</v>
      </c>
      <c r="AA341">
        <v>174.7</v>
      </c>
      <c r="AB341">
        <v>169.7</v>
      </c>
      <c r="AC341">
        <v>171.8</v>
      </c>
      <c r="AD341">
        <v>174.3</v>
      </c>
    </row>
    <row r="342" spans="1:30" x14ac:dyDescent="0.3">
      <c r="A342" t="s">
        <v>53</v>
      </c>
      <c r="B342">
        <v>2022</v>
      </c>
      <c r="C342" t="s">
        <v>60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54</v>
      </c>
      <c r="B343">
        <v>2022</v>
      </c>
      <c r="C343" t="s">
        <v>60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50</v>
      </c>
      <c r="B344">
        <v>2022</v>
      </c>
      <c r="C344" t="s">
        <v>61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52</v>
      </c>
      <c r="V344">
        <v>179.1</v>
      </c>
      <c r="W344">
        <v>172.3</v>
      </c>
      <c r="X344">
        <v>179.4</v>
      </c>
      <c r="Y344">
        <v>166.6</v>
      </c>
      <c r="Z344">
        <v>169.3</v>
      </c>
      <c r="AA344">
        <v>175.7</v>
      </c>
      <c r="AB344">
        <v>171.1</v>
      </c>
      <c r="AC344">
        <v>172.6</v>
      </c>
      <c r="AD344">
        <v>175.3</v>
      </c>
    </row>
    <row r="345" spans="1:30" x14ac:dyDescent="0.3">
      <c r="A345" t="s">
        <v>53</v>
      </c>
      <c r="B345">
        <v>2022</v>
      </c>
      <c r="C345" t="s">
        <v>61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54</v>
      </c>
      <c r="B346">
        <v>2022</v>
      </c>
      <c r="C346" t="s">
        <v>61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50</v>
      </c>
      <c r="B347">
        <v>2022</v>
      </c>
      <c r="C347" t="s">
        <v>62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52</v>
      </c>
      <c r="V347">
        <v>179.7</v>
      </c>
      <c r="W347">
        <v>173.6</v>
      </c>
      <c r="X347">
        <v>180.2</v>
      </c>
      <c r="Y347">
        <v>166.9</v>
      </c>
      <c r="Z347">
        <v>170</v>
      </c>
      <c r="AA347">
        <v>176.2</v>
      </c>
      <c r="AB347">
        <v>170.8</v>
      </c>
      <c r="AC347">
        <v>173.1</v>
      </c>
      <c r="AD347">
        <v>176.4</v>
      </c>
    </row>
    <row r="348" spans="1:30" x14ac:dyDescent="0.3">
      <c r="A348" t="s">
        <v>53</v>
      </c>
      <c r="B348">
        <v>2022</v>
      </c>
      <c r="C348" t="s">
        <v>62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54</v>
      </c>
      <c r="B349">
        <v>2022</v>
      </c>
      <c r="C349" t="s">
        <v>62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50</v>
      </c>
      <c r="B350">
        <v>2022</v>
      </c>
      <c r="C350" t="s">
        <v>63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52</v>
      </c>
      <c r="V350">
        <v>180.8</v>
      </c>
      <c r="W350">
        <v>174.4</v>
      </c>
      <c r="X350">
        <v>181.2</v>
      </c>
      <c r="Y350">
        <v>167.4</v>
      </c>
      <c r="Z350">
        <v>170.6</v>
      </c>
      <c r="AA350">
        <v>176.5</v>
      </c>
      <c r="AB350">
        <v>172</v>
      </c>
      <c r="AC350">
        <v>173.9</v>
      </c>
      <c r="AD350">
        <v>177.9</v>
      </c>
    </row>
    <row r="351" spans="1:30" x14ac:dyDescent="0.3">
      <c r="A351" t="s">
        <v>53</v>
      </c>
      <c r="B351">
        <v>2022</v>
      </c>
      <c r="C351" t="s">
        <v>63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54</v>
      </c>
      <c r="B352">
        <v>2022</v>
      </c>
      <c r="C352" t="s">
        <v>63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50</v>
      </c>
      <c r="B353">
        <v>2022</v>
      </c>
      <c r="C353" t="s">
        <v>65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52</v>
      </c>
      <c r="V353">
        <v>181.9</v>
      </c>
      <c r="W353">
        <v>175.5</v>
      </c>
      <c r="X353">
        <v>182.3</v>
      </c>
      <c r="Y353">
        <v>167.5</v>
      </c>
      <c r="Z353">
        <v>170.8</v>
      </c>
      <c r="AA353">
        <v>176.9</v>
      </c>
      <c r="AB353">
        <v>173.4</v>
      </c>
      <c r="AC353">
        <v>174.6</v>
      </c>
      <c r="AD353">
        <v>177.8</v>
      </c>
    </row>
    <row r="354" spans="1:30" x14ac:dyDescent="0.3">
      <c r="A354" t="s">
        <v>53</v>
      </c>
      <c r="B354">
        <v>2022</v>
      </c>
      <c r="C354" t="s">
        <v>65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54</v>
      </c>
      <c r="B355">
        <v>2022</v>
      </c>
      <c r="C355" t="s">
        <v>65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50</v>
      </c>
      <c r="B356">
        <v>2022</v>
      </c>
      <c r="C356" t="s">
        <v>66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52</v>
      </c>
      <c r="V356">
        <v>182.8</v>
      </c>
      <c r="W356">
        <v>176.4</v>
      </c>
      <c r="X356">
        <v>183.5</v>
      </c>
      <c r="Y356">
        <v>167.8</v>
      </c>
      <c r="Z356">
        <v>171.2</v>
      </c>
      <c r="AA356">
        <v>177.3</v>
      </c>
      <c r="AB356">
        <v>175.7</v>
      </c>
      <c r="AC356">
        <v>175.5</v>
      </c>
      <c r="AD356">
        <v>177.1</v>
      </c>
    </row>
    <row r="357" spans="1:30" x14ac:dyDescent="0.3">
      <c r="A357" t="s">
        <v>53</v>
      </c>
      <c r="B357">
        <v>2022</v>
      </c>
      <c r="C357" t="s">
        <v>66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54</v>
      </c>
      <c r="B358">
        <v>2022</v>
      </c>
      <c r="C358" t="s">
        <v>66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50</v>
      </c>
      <c r="B359">
        <v>2023</v>
      </c>
      <c r="C359" t="s">
        <v>51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52</v>
      </c>
      <c r="V359">
        <v>183.2</v>
      </c>
      <c r="W359">
        <v>177.2</v>
      </c>
      <c r="X359">
        <v>184.7</v>
      </c>
      <c r="Y359">
        <v>168.2</v>
      </c>
      <c r="Z359">
        <v>171.8</v>
      </c>
      <c r="AA359">
        <v>177.8</v>
      </c>
      <c r="AB359">
        <v>178.4</v>
      </c>
      <c r="AC359">
        <v>176.5</v>
      </c>
      <c r="AD359">
        <v>177.8</v>
      </c>
    </row>
    <row r="360" spans="1:30" x14ac:dyDescent="0.3">
      <c r="A360" t="s">
        <v>53</v>
      </c>
      <c r="B360">
        <v>2023</v>
      </c>
      <c r="C360" t="s">
        <v>51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54</v>
      </c>
      <c r="B361">
        <v>2023</v>
      </c>
      <c r="C361" t="s">
        <v>51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50</v>
      </c>
      <c r="B362">
        <v>2023</v>
      </c>
      <c r="C362" t="s">
        <v>55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52</v>
      </c>
      <c r="V362">
        <v>181.6</v>
      </c>
      <c r="W362">
        <v>178.6</v>
      </c>
      <c r="X362">
        <v>186.6</v>
      </c>
      <c r="Y362">
        <v>169</v>
      </c>
      <c r="Z362">
        <v>172.8</v>
      </c>
      <c r="AA362">
        <v>178.5</v>
      </c>
      <c r="AB362">
        <v>180.7</v>
      </c>
      <c r="AC362">
        <v>177.9</v>
      </c>
      <c r="AD362">
        <v>178</v>
      </c>
    </row>
    <row r="363" spans="1:30" x14ac:dyDescent="0.3">
      <c r="A363" t="s">
        <v>53</v>
      </c>
      <c r="B363">
        <v>2023</v>
      </c>
      <c r="C363" t="s">
        <v>55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54</v>
      </c>
      <c r="B364">
        <v>2023</v>
      </c>
      <c r="C364" t="s">
        <v>55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50</v>
      </c>
      <c r="B365">
        <v>2023</v>
      </c>
      <c r="C365" t="s">
        <v>56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52</v>
      </c>
      <c r="V365">
        <v>181.4</v>
      </c>
      <c r="W365">
        <v>178.6</v>
      </c>
      <c r="X365">
        <v>186.6</v>
      </c>
      <c r="Y365">
        <v>169</v>
      </c>
      <c r="Z365">
        <v>172.8</v>
      </c>
      <c r="AA365">
        <v>178.5</v>
      </c>
      <c r="AB365">
        <v>180.7</v>
      </c>
      <c r="AC365">
        <v>177.9</v>
      </c>
      <c r="AD365">
        <v>178</v>
      </c>
    </row>
    <row r="366" spans="1:30" x14ac:dyDescent="0.3">
      <c r="A366" t="s">
        <v>53</v>
      </c>
      <c r="B366">
        <v>2023</v>
      </c>
      <c r="C366" t="s">
        <v>56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54</v>
      </c>
      <c r="B367">
        <v>2023</v>
      </c>
      <c r="C367" t="s">
        <v>56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50</v>
      </c>
      <c r="B368">
        <v>2023</v>
      </c>
      <c r="C368" t="s">
        <v>57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68</v>
      </c>
      <c r="V368">
        <v>181.5</v>
      </c>
      <c r="W368">
        <v>179.1</v>
      </c>
      <c r="X368">
        <v>187.2</v>
      </c>
      <c r="Y368">
        <v>169.4</v>
      </c>
      <c r="Z368">
        <v>173.2</v>
      </c>
      <c r="AA368">
        <v>179.4</v>
      </c>
      <c r="AB368">
        <v>183.8</v>
      </c>
      <c r="AC368">
        <v>178.9</v>
      </c>
      <c r="AD368">
        <v>178.8</v>
      </c>
    </row>
    <row r="369" spans="1:30" x14ac:dyDescent="0.3">
      <c r="A369" t="s">
        <v>53</v>
      </c>
      <c r="B369">
        <v>2023</v>
      </c>
      <c r="C369" t="s">
        <v>57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54</v>
      </c>
      <c r="B370">
        <v>2023</v>
      </c>
      <c r="C370" t="s">
        <v>57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50</v>
      </c>
      <c r="B371">
        <v>2023</v>
      </c>
      <c r="C371" t="s">
        <v>58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68</v>
      </c>
      <c r="V371">
        <v>182.5</v>
      </c>
      <c r="W371">
        <v>179.8</v>
      </c>
      <c r="X371">
        <v>187.8</v>
      </c>
      <c r="Y371">
        <v>169.7</v>
      </c>
      <c r="Z371">
        <v>173.8</v>
      </c>
      <c r="AA371">
        <v>180.3</v>
      </c>
      <c r="AB371">
        <v>184.9</v>
      </c>
      <c r="AC371">
        <v>179.5</v>
      </c>
      <c r="AD371">
        <v>179.8</v>
      </c>
    </row>
    <row r="372" spans="1:30" x14ac:dyDescent="0.3">
      <c r="A372" t="s">
        <v>53</v>
      </c>
      <c r="B372">
        <v>2023</v>
      </c>
      <c r="C372" t="s">
        <v>58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54</v>
      </c>
      <c r="B373">
        <v>2023</v>
      </c>
      <c r="C373" t="s">
        <v>58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1:AD373" xr:uid="{466032ED-6CB1-4E41-B346-52C2454BB95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8925D-D3D1-438D-86DD-2A85A6182F74}">
  <dimension ref="A1:AJ368"/>
  <sheetViews>
    <sheetView topLeftCell="A346" workbookViewId="0">
      <selection activeCell="AN370" sqref="AN370"/>
    </sheetView>
  </sheetViews>
  <sheetFormatPr defaultRowHeight="14.4" x14ac:dyDescent="0.3"/>
  <cols>
    <col min="4" max="4" width="16.5546875" customWidth="1"/>
    <col min="5" max="17" width="0" hidden="1" customWidth="1"/>
    <col min="19" max="20" width="0" hidden="1" customWidth="1"/>
    <col min="25" max="32" width="0" hidden="1" customWidth="1"/>
  </cols>
  <sheetData>
    <row r="1" spans="1:32" x14ac:dyDescent="0.3">
      <c r="A1" t="s">
        <v>20</v>
      </c>
      <c r="B1" t="s">
        <v>21</v>
      </c>
      <c r="C1" t="s">
        <v>22</v>
      </c>
      <c r="D1" t="s">
        <v>70</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c r="W1" t="s">
        <v>41</v>
      </c>
      <c r="X1" t="s">
        <v>69</v>
      </c>
      <c r="Y1" t="s">
        <v>42</v>
      </c>
      <c r="Z1" t="s">
        <v>43</v>
      </c>
      <c r="AA1" t="s">
        <v>44</v>
      </c>
      <c r="AB1" t="s">
        <v>45</v>
      </c>
      <c r="AC1" t="s">
        <v>46</v>
      </c>
      <c r="AD1" t="s">
        <v>47</v>
      </c>
      <c r="AE1" t="s">
        <v>48</v>
      </c>
      <c r="AF1" t="s">
        <v>49</v>
      </c>
    </row>
    <row r="2" spans="1:32" x14ac:dyDescent="0.3">
      <c r="A2" t="s">
        <v>50</v>
      </c>
      <c r="B2">
        <v>2013</v>
      </c>
      <c r="C2" t="s">
        <v>51</v>
      </c>
      <c r="D2">
        <f>AVERAGE(E2:Q2)</f>
        <v>105.5153846153846</v>
      </c>
      <c r="E2">
        <v>107.5</v>
      </c>
      <c r="F2">
        <v>106.3</v>
      </c>
      <c r="G2">
        <v>108.1</v>
      </c>
      <c r="H2">
        <v>104.9</v>
      </c>
      <c r="I2">
        <v>106.1</v>
      </c>
      <c r="J2">
        <v>103.9</v>
      </c>
      <c r="K2">
        <v>101.9</v>
      </c>
      <c r="L2">
        <v>106.1</v>
      </c>
      <c r="M2">
        <v>106.8</v>
      </c>
      <c r="N2">
        <v>103.1</v>
      </c>
      <c r="O2">
        <v>104.8</v>
      </c>
      <c r="P2">
        <v>106.7</v>
      </c>
      <c r="Q2">
        <v>105.5</v>
      </c>
      <c r="R2">
        <v>105.1</v>
      </c>
      <c r="S2">
        <v>106.5</v>
      </c>
      <c r="T2">
        <v>105.8</v>
      </c>
      <c r="U2">
        <v>106.4</v>
      </c>
      <c r="V2">
        <v>100.3</v>
      </c>
      <c r="W2">
        <v>105.5</v>
      </c>
      <c r="X2">
        <f>AVERAGE(Y2:AE2)</f>
        <v>104</v>
      </c>
      <c r="Y2">
        <v>104.8</v>
      </c>
      <c r="Z2">
        <v>104</v>
      </c>
      <c r="AA2">
        <v>103.3</v>
      </c>
      <c r="AB2">
        <v>103.4</v>
      </c>
      <c r="AC2">
        <v>103.8</v>
      </c>
      <c r="AD2">
        <v>104.7</v>
      </c>
      <c r="AE2">
        <v>104</v>
      </c>
      <c r="AF2">
        <v>105.1</v>
      </c>
    </row>
    <row r="3" spans="1:32" x14ac:dyDescent="0.3">
      <c r="A3" t="s">
        <v>53</v>
      </c>
      <c r="B3">
        <v>2013</v>
      </c>
      <c r="C3" t="s">
        <v>51</v>
      </c>
      <c r="D3">
        <f t="shared" ref="D3:D66" si="0">AVERAGE(E3:Q3)</f>
        <v>105.87692307692308</v>
      </c>
      <c r="E3">
        <v>110.5</v>
      </c>
      <c r="F3">
        <v>109.1</v>
      </c>
      <c r="G3">
        <v>113</v>
      </c>
      <c r="H3">
        <v>103.6</v>
      </c>
      <c r="I3">
        <v>103.4</v>
      </c>
      <c r="J3">
        <v>102.3</v>
      </c>
      <c r="K3">
        <v>102.9</v>
      </c>
      <c r="L3">
        <v>105.8</v>
      </c>
      <c r="M3">
        <v>105.1</v>
      </c>
      <c r="N3">
        <v>101.8</v>
      </c>
      <c r="O3">
        <v>105.1</v>
      </c>
      <c r="P3">
        <v>107.9</v>
      </c>
      <c r="Q3">
        <v>105.9</v>
      </c>
      <c r="R3">
        <v>105.2</v>
      </c>
      <c r="S3">
        <v>105.9</v>
      </c>
      <c r="T3">
        <v>105</v>
      </c>
      <c r="U3">
        <v>105.8</v>
      </c>
      <c r="V3">
        <v>100.3</v>
      </c>
      <c r="W3">
        <v>105.4</v>
      </c>
      <c r="X3">
        <f t="shared" ref="X3:X66" si="1">AVERAGE(Y3:AE3)</f>
        <v>103.78571428571429</v>
      </c>
      <c r="Y3">
        <v>104.8</v>
      </c>
      <c r="Z3">
        <v>104.1</v>
      </c>
      <c r="AA3">
        <v>103.2</v>
      </c>
      <c r="AB3">
        <v>102.9</v>
      </c>
      <c r="AC3">
        <v>103.5</v>
      </c>
      <c r="AD3">
        <v>104.3</v>
      </c>
      <c r="AE3">
        <v>103.7</v>
      </c>
      <c r="AF3">
        <v>104</v>
      </c>
    </row>
    <row r="4" spans="1:32" x14ac:dyDescent="0.3">
      <c r="A4" t="s">
        <v>54</v>
      </c>
      <c r="B4">
        <v>2013</v>
      </c>
      <c r="C4" t="s">
        <v>51</v>
      </c>
      <c r="D4">
        <f t="shared" si="0"/>
        <v>105.63846153846156</v>
      </c>
      <c r="E4">
        <v>108.4</v>
      </c>
      <c r="F4">
        <v>107.3</v>
      </c>
      <c r="G4">
        <v>110</v>
      </c>
      <c r="H4">
        <v>104.4</v>
      </c>
      <c r="I4">
        <v>105.1</v>
      </c>
      <c r="J4">
        <v>103.2</v>
      </c>
      <c r="K4">
        <v>102.2</v>
      </c>
      <c r="L4">
        <v>106</v>
      </c>
      <c r="M4">
        <v>106.2</v>
      </c>
      <c r="N4">
        <v>102.7</v>
      </c>
      <c r="O4">
        <v>104.9</v>
      </c>
      <c r="P4">
        <v>107.3</v>
      </c>
      <c r="Q4">
        <v>105.6</v>
      </c>
      <c r="R4">
        <v>105.1</v>
      </c>
      <c r="S4">
        <v>106.3</v>
      </c>
      <c r="T4">
        <v>105.5</v>
      </c>
      <c r="U4">
        <v>106.2</v>
      </c>
      <c r="V4">
        <v>100.3</v>
      </c>
      <c r="W4">
        <v>105.5</v>
      </c>
      <c r="X4">
        <f t="shared" si="1"/>
        <v>103.87142857142858</v>
      </c>
      <c r="Y4">
        <v>104.8</v>
      </c>
      <c r="Z4">
        <v>104</v>
      </c>
      <c r="AA4">
        <v>103.2</v>
      </c>
      <c r="AB4">
        <v>103.1</v>
      </c>
      <c r="AC4">
        <v>103.6</v>
      </c>
      <c r="AD4">
        <v>104.5</v>
      </c>
      <c r="AE4">
        <v>103.9</v>
      </c>
      <c r="AF4">
        <v>104.6</v>
      </c>
    </row>
    <row r="5" spans="1:32" x14ac:dyDescent="0.3">
      <c r="A5" t="s">
        <v>50</v>
      </c>
      <c r="B5">
        <v>2013</v>
      </c>
      <c r="C5" t="s">
        <v>55</v>
      </c>
      <c r="D5">
        <f t="shared" si="0"/>
        <v>106.18461538461537</v>
      </c>
      <c r="E5">
        <v>109.2</v>
      </c>
      <c r="F5">
        <v>108.7</v>
      </c>
      <c r="G5">
        <v>110.2</v>
      </c>
      <c r="H5">
        <v>105.4</v>
      </c>
      <c r="I5">
        <v>106.7</v>
      </c>
      <c r="J5">
        <v>104</v>
      </c>
      <c r="K5">
        <v>102.4</v>
      </c>
      <c r="L5">
        <v>105.9</v>
      </c>
      <c r="M5">
        <v>105.7</v>
      </c>
      <c r="N5">
        <v>103.1</v>
      </c>
      <c r="O5">
        <v>105.1</v>
      </c>
      <c r="P5">
        <v>107.7</v>
      </c>
      <c r="Q5">
        <v>106.3</v>
      </c>
      <c r="R5">
        <v>105.6</v>
      </c>
      <c r="S5">
        <v>107.1</v>
      </c>
      <c r="T5">
        <v>106.3</v>
      </c>
      <c r="U5">
        <v>107</v>
      </c>
      <c r="V5">
        <f>AVERAGE(V3:V4)</f>
        <v>100.3</v>
      </c>
      <c r="W5">
        <v>106.2</v>
      </c>
      <c r="X5">
        <f t="shared" si="1"/>
        <v>104.37142857142858</v>
      </c>
      <c r="Y5">
        <v>105.2</v>
      </c>
      <c r="Z5">
        <v>104.4</v>
      </c>
      <c r="AA5">
        <v>103.9</v>
      </c>
      <c r="AB5">
        <v>104</v>
      </c>
      <c r="AC5">
        <v>104.1</v>
      </c>
      <c r="AD5">
        <v>104.6</v>
      </c>
      <c r="AE5">
        <v>104.4</v>
      </c>
      <c r="AF5">
        <v>105.8</v>
      </c>
    </row>
    <row r="6" spans="1:32" x14ac:dyDescent="0.3">
      <c r="A6" t="s">
        <v>53</v>
      </c>
      <c r="B6">
        <v>2013</v>
      </c>
      <c r="C6" t="s">
        <v>55</v>
      </c>
      <c r="D6">
        <f t="shared" si="0"/>
        <v>106.96923076923078</v>
      </c>
      <c r="E6">
        <v>112.9</v>
      </c>
      <c r="F6">
        <v>112.9</v>
      </c>
      <c r="G6">
        <v>116.9</v>
      </c>
      <c r="H6">
        <v>104</v>
      </c>
      <c r="I6">
        <v>103.5</v>
      </c>
      <c r="J6">
        <v>103.1</v>
      </c>
      <c r="K6">
        <v>104.9</v>
      </c>
      <c r="L6">
        <v>104.1</v>
      </c>
      <c r="M6">
        <v>103.8</v>
      </c>
      <c r="N6">
        <v>102.3</v>
      </c>
      <c r="O6">
        <v>106</v>
      </c>
      <c r="P6">
        <v>109</v>
      </c>
      <c r="Q6">
        <v>107.2</v>
      </c>
      <c r="R6">
        <v>106</v>
      </c>
      <c r="S6">
        <v>106.6</v>
      </c>
      <c r="T6">
        <v>105.5</v>
      </c>
      <c r="U6">
        <v>106.4</v>
      </c>
      <c r="V6">
        <v>100.4</v>
      </c>
      <c r="W6">
        <v>105.7</v>
      </c>
      <c r="X6">
        <f t="shared" si="1"/>
        <v>104.27142857142857</v>
      </c>
      <c r="Y6">
        <v>105.2</v>
      </c>
      <c r="Z6">
        <v>104.7</v>
      </c>
      <c r="AA6">
        <v>104.4</v>
      </c>
      <c r="AB6">
        <v>103.3</v>
      </c>
      <c r="AC6">
        <v>103.7</v>
      </c>
      <c r="AD6">
        <v>104.3</v>
      </c>
      <c r="AE6">
        <v>104.3</v>
      </c>
      <c r="AF6">
        <v>104.7</v>
      </c>
    </row>
    <row r="7" spans="1:32" x14ac:dyDescent="0.3">
      <c r="A7" t="s">
        <v>54</v>
      </c>
      <c r="B7">
        <v>2013</v>
      </c>
      <c r="C7" t="s">
        <v>55</v>
      </c>
      <c r="D7">
        <f t="shared" si="0"/>
        <v>106.47692307692309</v>
      </c>
      <c r="E7">
        <v>110.4</v>
      </c>
      <c r="F7">
        <v>110.2</v>
      </c>
      <c r="G7">
        <v>112.8</v>
      </c>
      <c r="H7">
        <v>104.9</v>
      </c>
      <c r="I7">
        <v>105.5</v>
      </c>
      <c r="J7">
        <v>103.6</v>
      </c>
      <c r="K7">
        <v>103.2</v>
      </c>
      <c r="L7">
        <v>105.3</v>
      </c>
      <c r="M7">
        <v>105.1</v>
      </c>
      <c r="N7">
        <v>102.8</v>
      </c>
      <c r="O7">
        <v>105.5</v>
      </c>
      <c r="P7">
        <v>108.3</v>
      </c>
      <c r="Q7">
        <v>106.6</v>
      </c>
      <c r="R7">
        <v>105.7</v>
      </c>
      <c r="S7">
        <v>106.9</v>
      </c>
      <c r="T7">
        <v>106</v>
      </c>
      <c r="U7">
        <v>106.8</v>
      </c>
      <c r="V7">
        <v>100.4</v>
      </c>
      <c r="W7">
        <v>106</v>
      </c>
      <c r="X7">
        <f t="shared" si="1"/>
        <v>104.32857142857142</v>
      </c>
      <c r="Y7">
        <v>105.2</v>
      </c>
      <c r="Z7">
        <v>104.5</v>
      </c>
      <c r="AA7">
        <v>104.2</v>
      </c>
      <c r="AB7">
        <v>103.6</v>
      </c>
      <c r="AC7">
        <v>103.9</v>
      </c>
      <c r="AD7">
        <v>104.5</v>
      </c>
      <c r="AE7">
        <v>104.4</v>
      </c>
      <c r="AF7">
        <v>105.3</v>
      </c>
    </row>
    <row r="8" spans="1:32" x14ac:dyDescent="0.3">
      <c r="A8" t="s">
        <v>50</v>
      </c>
      <c r="B8">
        <v>2013</v>
      </c>
      <c r="C8" t="s">
        <v>56</v>
      </c>
      <c r="D8">
        <f t="shared" si="0"/>
        <v>106.32307692307693</v>
      </c>
      <c r="E8">
        <v>110.2</v>
      </c>
      <c r="F8">
        <v>108.8</v>
      </c>
      <c r="G8">
        <v>109.9</v>
      </c>
      <c r="H8">
        <v>105.6</v>
      </c>
      <c r="I8">
        <v>106.2</v>
      </c>
      <c r="J8">
        <v>105.7</v>
      </c>
      <c r="K8">
        <v>101.4</v>
      </c>
      <c r="L8">
        <v>105.7</v>
      </c>
      <c r="M8">
        <v>105</v>
      </c>
      <c r="N8">
        <v>103.3</v>
      </c>
      <c r="O8">
        <v>105.6</v>
      </c>
      <c r="P8">
        <v>108.2</v>
      </c>
      <c r="Q8">
        <v>106.6</v>
      </c>
      <c r="R8">
        <v>106.5</v>
      </c>
      <c r="S8">
        <v>107.6</v>
      </c>
      <c r="T8">
        <v>106.8</v>
      </c>
      <c r="U8">
        <v>107.5</v>
      </c>
      <c r="V8">
        <f>AVERAGE(V6:V7)</f>
        <v>100.4</v>
      </c>
      <c r="W8">
        <v>106.1</v>
      </c>
      <c r="X8">
        <f t="shared" si="1"/>
        <v>104.58571428571427</v>
      </c>
      <c r="Y8">
        <v>105.6</v>
      </c>
      <c r="Z8">
        <v>104.7</v>
      </c>
      <c r="AA8">
        <v>104.6</v>
      </c>
      <c r="AB8">
        <v>104</v>
      </c>
      <c r="AC8">
        <v>104.3</v>
      </c>
      <c r="AD8">
        <v>104.3</v>
      </c>
      <c r="AE8">
        <v>104.6</v>
      </c>
      <c r="AF8">
        <v>106</v>
      </c>
    </row>
    <row r="9" spans="1:32" x14ac:dyDescent="0.3">
      <c r="A9" t="s">
        <v>53</v>
      </c>
      <c r="B9">
        <v>2013</v>
      </c>
      <c r="C9" t="s">
        <v>56</v>
      </c>
      <c r="D9">
        <f t="shared" si="0"/>
        <v>106.67692307692307</v>
      </c>
      <c r="E9">
        <v>113.9</v>
      </c>
      <c r="F9">
        <v>111.4</v>
      </c>
      <c r="G9">
        <v>113.2</v>
      </c>
      <c r="H9">
        <v>104.3</v>
      </c>
      <c r="I9">
        <v>102.7</v>
      </c>
      <c r="J9">
        <v>104.9</v>
      </c>
      <c r="K9">
        <v>103.8</v>
      </c>
      <c r="L9">
        <v>103.5</v>
      </c>
      <c r="M9">
        <v>102.6</v>
      </c>
      <c r="N9">
        <v>102.4</v>
      </c>
      <c r="O9">
        <v>107</v>
      </c>
      <c r="P9">
        <v>109.8</v>
      </c>
      <c r="Q9">
        <v>107.3</v>
      </c>
      <c r="R9">
        <v>106.8</v>
      </c>
      <c r="S9">
        <v>107.2</v>
      </c>
      <c r="T9">
        <v>106</v>
      </c>
      <c r="U9">
        <v>107</v>
      </c>
      <c r="V9">
        <v>100.4</v>
      </c>
      <c r="W9">
        <v>106</v>
      </c>
      <c r="X9">
        <f t="shared" si="1"/>
        <v>104.68571428571428</v>
      </c>
      <c r="Y9">
        <v>105.7</v>
      </c>
      <c r="Z9">
        <v>105.2</v>
      </c>
      <c r="AA9">
        <v>105.5</v>
      </c>
      <c r="AB9">
        <v>103.5</v>
      </c>
      <c r="AC9">
        <v>103.8</v>
      </c>
      <c r="AD9">
        <v>104.2</v>
      </c>
      <c r="AE9">
        <v>104.9</v>
      </c>
      <c r="AF9">
        <v>105</v>
      </c>
    </row>
    <row r="10" spans="1:32" x14ac:dyDescent="0.3">
      <c r="A10" t="s">
        <v>54</v>
      </c>
      <c r="B10">
        <v>2013</v>
      </c>
      <c r="C10" t="s">
        <v>56</v>
      </c>
      <c r="D10">
        <f t="shared" si="0"/>
        <v>106.46153846153848</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100.4</v>
      </c>
      <c r="W10">
        <v>106.1</v>
      </c>
      <c r="X10">
        <f t="shared" si="1"/>
        <v>104.61428571428571</v>
      </c>
      <c r="Y10">
        <v>105.6</v>
      </c>
      <c r="Z10">
        <v>104.9</v>
      </c>
      <c r="AA10">
        <v>105.1</v>
      </c>
      <c r="AB10">
        <v>103.7</v>
      </c>
      <c r="AC10">
        <v>104</v>
      </c>
      <c r="AD10">
        <v>104.3</v>
      </c>
      <c r="AE10">
        <v>104.7</v>
      </c>
      <c r="AF10">
        <v>105.5</v>
      </c>
    </row>
    <row r="11" spans="1:32" x14ac:dyDescent="0.3">
      <c r="A11" t="s">
        <v>50</v>
      </c>
      <c r="B11">
        <v>2013</v>
      </c>
      <c r="C11" t="s">
        <v>57</v>
      </c>
      <c r="D11">
        <f t="shared" si="0"/>
        <v>106.6</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f>AVERAGE(V9:V10)</f>
        <v>100.4</v>
      </c>
      <c r="W11">
        <v>106.5</v>
      </c>
      <c r="X11">
        <f t="shared" si="1"/>
        <v>104.60000000000001</v>
      </c>
      <c r="Y11">
        <v>106.1</v>
      </c>
      <c r="Z11">
        <v>105.1</v>
      </c>
      <c r="AA11">
        <v>104.4</v>
      </c>
      <c r="AB11">
        <v>104.5</v>
      </c>
      <c r="AC11">
        <v>104.8</v>
      </c>
      <c r="AD11">
        <v>102.7</v>
      </c>
      <c r="AE11">
        <v>104.6</v>
      </c>
      <c r="AF11">
        <v>106.4</v>
      </c>
    </row>
    <row r="12" spans="1:32" x14ac:dyDescent="0.3">
      <c r="A12" t="s">
        <v>53</v>
      </c>
      <c r="B12">
        <v>2013</v>
      </c>
      <c r="C12" t="s">
        <v>57</v>
      </c>
      <c r="D12">
        <f t="shared" si="0"/>
        <v>107.5153846153846</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100.5</v>
      </c>
      <c r="W12">
        <v>106.4</v>
      </c>
      <c r="X12">
        <f t="shared" si="1"/>
        <v>104.95714285714287</v>
      </c>
      <c r="Y12">
        <v>106.5</v>
      </c>
      <c r="Z12">
        <v>105.7</v>
      </c>
      <c r="AA12">
        <v>105</v>
      </c>
      <c r="AB12">
        <v>104</v>
      </c>
      <c r="AC12">
        <v>105.2</v>
      </c>
      <c r="AD12">
        <v>103.2</v>
      </c>
      <c r="AE12">
        <v>105.1</v>
      </c>
      <c r="AF12">
        <v>105.7</v>
      </c>
    </row>
    <row r="13" spans="1:32" x14ac:dyDescent="0.3">
      <c r="A13" t="s">
        <v>54</v>
      </c>
      <c r="B13">
        <v>2013</v>
      </c>
      <c r="C13" t="s">
        <v>57</v>
      </c>
      <c r="D13">
        <f t="shared" si="0"/>
        <v>106.93846153846154</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100.5</v>
      </c>
      <c r="W13">
        <v>106.5</v>
      </c>
      <c r="X13">
        <f t="shared" si="1"/>
        <v>104.74285714285713</v>
      </c>
      <c r="Y13">
        <v>106.3</v>
      </c>
      <c r="Z13">
        <v>105.3</v>
      </c>
      <c r="AA13">
        <v>104.7</v>
      </c>
      <c r="AB13">
        <v>104.2</v>
      </c>
      <c r="AC13">
        <v>105</v>
      </c>
      <c r="AD13">
        <v>102.9</v>
      </c>
      <c r="AE13">
        <v>104.8</v>
      </c>
      <c r="AF13">
        <v>106.1</v>
      </c>
    </row>
    <row r="14" spans="1:32" x14ac:dyDescent="0.3">
      <c r="A14" t="s">
        <v>50</v>
      </c>
      <c r="B14">
        <v>2013</v>
      </c>
      <c r="C14" t="s">
        <v>58</v>
      </c>
      <c r="D14">
        <f t="shared" si="0"/>
        <v>107.23076923076923</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f>AVERAGE(V12:V13)</f>
        <v>100.5</v>
      </c>
      <c r="W14">
        <v>107.5</v>
      </c>
      <c r="X14">
        <f t="shared" si="1"/>
        <v>104.85714285714286</v>
      </c>
      <c r="Y14">
        <v>106.8</v>
      </c>
      <c r="Z14">
        <v>105.7</v>
      </c>
      <c r="AA14">
        <v>104.1</v>
      </c>
      <c r="AB14">
        <v>105</v>
      </c>
      <c r="AC14">
        <v>105.5</v>
      </c>
      <c r="AD14">
        <v>102.1</v>
      </c>
      <c r="AE14">
        <v>104.8</v>
      </c>
      <c r="AF14">
        <v>107.2</v>
      </c>
    </row>
    <row r="15" spans="1:32" x14ac:dyDescent="0.3">
      <c r="A15" t="s">
        <v>53</v>
      </c>
      <c r="B15">
        <v>2013</v>
      </c>
      <c r="C15" t="s">
        <v>58</v>
      </c>
      <c r="D15">
        <f t="shared" si="0"/>
        <v>109.0153846153846</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100.5</v>
      </c>
      <c r="W15">
        <v>107.2</v>
      </c>
      <c r="X15">
        <f t="shared" si="1"/>
        <v>105.00000000000001</v>
      </c>
      <c r="Y15">
        <v>107.1</v>
      </c>
      <c r="Z15">
        <v>106.2</v>
      </c>
      <c r="AA15">
        <v>103.9</v>
      </c>
      <c r="AB15">
        <v>104.6</v>
      </c>
      <c r="AC15">
        <v>105.7</v>
      </c>
      <c r="AD15">
        <v>102.6</v>
      </c>
      <c r="AE15">
        <v>104.9</v>
      </c>
      <c r="AF15">
        <v>106.6</v>
      </c>
    </row>
    <row r="16" spans="1:32" x14ac:dyDescent="0.3">
      <c r="A16" t="s">
        <v>54</v>
      </c>
      <c r="B16">
        <v>2013</v>
      </c>
      <c r="C16" t="s">
        <v>58</v>
      </c>
      <c r="D16">
        <f t="shared" si="0"/>
        <v>107.86153846153844</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100.5</v>
      </c>
      <c r="W16">
        <v>107.4</v>
      </c>
      <c r="X16">
        <f t="shared" si="1"/>
        <v>104.89999999999999</v>
      </c>
      <c r="Y16">
        <v>106.9</v>
      </c>
      <c r="Z16">
        <v>105.9</v>
      </c>
      <c r="AA16">
        <v>104</v>
      </c>
      <c r="AB16">
        <v>104.8</v>
      </c>
      <c r="AC16">
        <v>105.6</v>
      </c>
      <c r="AD16">
        <v>102.3</v>
      </c>
      <c r="AE16">
        <v>104.8</v>
      </c>
      <c r="AF16">
        <v>106.9</v>
      </c>
    </row>
    <row r="17" spans="1:32" x14ac:dyDescent="0.3">
      <c r="A17" t="s">
        <v>50</v>
      </c>
      <c r="B17">
        <v>2013</v>
      </c>
      <c r="C17" t="s">
        <v>59</v>
      </c>
      <c r="D17">
        <f t="shared" si="0"/>
        <v>109.23076923076923</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f>AVERAGE(V15:V16)</f>
        <v>100.5</v>
      </c>
      <c r="W17">
        <v>108.5</v>
      </c>
      <c r="X17">
        <f t="shared" si="1"/>
        <v>105.55714285714285</v>
      </c>
      <c r="Y17">
        <v>107.5</v>
      </c>
      <c r="Z17">
        <v>106.3</v>
      </c>
      <c r="AA17">
        <v>105</v>
      </c>
      <c r="AB17">
        <v>105.6</v>
      </c>
      <c r="AC17">
        <v>106.5</v>
      </c>
      <c r="AD17">
        <v>102.5</v>
      </c>
      <c r="AE17">
        <v>105.5</v>
      </c>
      <c r="AF17">
        <v>108.9</v>
      </c>
    </row>
    <row r="18" spans="1:32" x14ac:dyDescent="0.3">
      <c r="A18" t="s">
        <v>53</v>
      </c>
      <c r="B18">
        <v>2013</v>
      </c>
      <c r="C18" t="s">
        <v>59</v>
      </c>
      <c r="D18">
        <f t="shared" si="0"/>
        <v>112.66153846153847</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106.6</v>
      </c>
      <c r="W18">
        <v>108</v>
      </c>
      <c r="X18">
        <f t="shared" si="1"/>
        <v>106.01428571428571</v>
      </c>
      <c r="Y18">
        <v>107.7</v>
      </c>
      <c r="Z18">
        <v>106.5</v>
      </c>
      <c r="AA18">
        <v>105.2</v>
      </c>
      <c r="AB18">
        <v>105.2</v>
      </c>
      <c r="AC18">
        <v>108.1</v>
      </c>
      <c r="AD18">
        <v>103.3</v>
      </c>
      <c r="AE18">
        <v>106.1</v>
      </c>
      <c r="AF18">
        <v>109.7</v>
      </c>
    </row>
    <row r="19" spans="1:32" x14ac:dyDescent="0.3">
      <c r="A19" t="s">
        <v>54</v>
      </c>
      <c r="B19">
        <v>2013</v>
      </c>
      <c r="C19" t="s">
        <v>59</v>
      </c>
      <c r="D19">
        <f t="shared" si="0"/>
        <v>110.46153846153847</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106.6</v>
      </c>
      <c r="W19">
        <v>108.3</v>
      </c>
      <c r="X19">
        <f t="shared" si="1"/>
        <v>105.78571428571426</v>
      </c>
      <c r="Y19">
        <v>107.6</v>
      </c>
      <c r="Z19">
        <v>106.4</v>
      </c>
      <c r="AA19">
        <v>105.1</v>
      </c>
      <c r="AB19">
        <v>105.4</v>
      </c>
      <c r="AC19">
        <v>107.4</v>
      </c>
      <c r="AD19">
        <v>102.8</v>
      </c>
      <c r="AE19">
        <v>105.8</v>
      </c>
      <c r="AF19">
        <v>109.3</v>
      </c>
    </row>
    <row r="20" spans="1:32" x14ac:dyDescent="0.3">
      <c r="A20" t="s">
        <v>50</v>
      </c>
      <c r="B20">
        <v>2013</v>
      </c>
      <c r="C20" t="s">
        <v>60</v>
      </c>
      <c r="D20">
        <f t="shared" si="0"/>
        <v>111.22307692307689</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f>AVERAGE(V18:V19)</f>
        <v>106.6</v>
      </c>
      <c r="W20">
        <v>109.5</v>
      </c>
      <c r="X20">
        <f t="shared" si="1"/>
        <v>106.45714285714284</v>
      </c>
      <c r="Y20">
        <v>108.3</v>
      </c>
      <c r="Z20">
        <v>106.9</v>
      </c>
      <c r="AA20">
        <v>106.8</v>
      </c>
      <c r="AB20">
        <v>106.4</v>
      </c>
      <c r="AC20">
        <v>107.8</v>
      </c>
      <c r="AD20">
        <v>102.5</v>
      </c>
      <c r="AE20">
        <v>106.5</v>
      </c>
      <c r="AF20">
        <v>110.7</v>
      </c>
    </row>
    <row r="21" spans="1:32" x14ac:dyDescent="0.3">
      <c r="A21" t="s">
        <v>53</v>
      </c>
      <c r="B21">
        <v>2013</v>
      </c>
      <c r="C21" t="s">
        <v>60</v>
      </c>
      <c r="D21">
        <f t="shared" si="0"/>
        <v>114.56923076923077</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107.7</v>
      </c>
      <c r="W21">
        <v>108.6</v>
      </c>
      <c r="X21">
        <f t="shared" si="1"/>
        <v>107</v>
      </c>
      <c r="Y21">
        <v>108.1</v>
      </c>
      <c r="Z21">
        <v>107.1</v>
      </c>
      <c r="AA21">
        <v>107.3</v>
      </c>
      <c r="AB21">
        <v>105.9</v>
      </c>
      <c r="AC21">
        <v>110.1</v>
      </c>
      <c r="AD21">
        <v>103.2</v>
      </c>
      <c r="AE21">
        <v>107.3</v>
      </c>
      <c r="AF21">
        <v>111.4</v>
      </c>
    </row>
    <row r="22" spans="1:32" x14ac:dyDescent="0.3">
      <c r="A22" t="s">
        <v>54</v>
      </c>
      <c r="B22">
        <v>2013</v>
      </c>
      <c r="C22" t="s">
        <v>60</v>
      </c>
      <c r="D22">
        <f t="shared" si="0"/>
        <v>112.41538461538461</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107.7</v>
      </c>
      <c r="W22">
        <v>109.2</v>
      </c>
      <c r="X22">
        <f t="shared" si="1"/>
        <v>106.74285714285713</v>
      </c>
      <c r="Y22">
        <v>108.2</v>
      </c>
      <c r="Z22">
        <v>107</v>
      </c>
      <c r="AA22">
        <v>107.1</v>
      </c>
      <c r="AB22">
        <v>106.1</v>
      </c>
      <c r="AC22">
        <v>109.1</v>
      </c>
      <c r="AD22">
        <v>102.8</v>
      </c>
      <c r="AE22">
        <v>106.9</v>
      </c>
      <c r="AF22">
        <v>111</v>
      </c>
    </row>
    <row r="23" spans="1:32" x14ac:dyDescent="0.3">
      <c r="A23" t="s">
        <v>50</v>
      </c>
      <c r="B23">
        <v>2013</v>
      </c>
      <c r="C23" t="s">
        <v>61</v>
      </c>
      <c r="D23">
        <f t="shared" si="0"/>
        <v>112.5</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f>AVERAGE(V21:V22)</f>
        <v>107.7</v>
      </c>
      <c r="W23">
        <v>109.9</v>
      </c>
      <c r="X23">
        <f t="shared" si="1"/>
        <v>107.42857142857143</v>
      </c>
      <c r="Y23">
        <v>108.7</v>
      </c>
      <c r="Z23">
        <v>107.5</v>
      </c>
      <c r="AA23">
        <v>107.8</v>
      </c>
      <c r="AB23">
        <v>106.8</v>
      </c>
      <c r="AC23">
        <v>108.7</v>
      </c>
      <c r="AD23">
        <v>105</v>
      </c>
      <c r="AE23">
        <v>107.5</v>
      </c>
      <c r="AF23">
        <v>112.1</v>
      </c>
    </row>
    <row r="24" spans="1:32" x14ac:dyDescent="0.3">
      <c r="A24" t="s">
        <v>53</v>
      </c>
      <c r="B24">
        <v>2013</v>
      </c>
      <c r="C24" t="s">
        <v>61</v>
      </c>
      <c r="D24">
        <f t="shared" si="0"/>
        <v>115.85384615384616</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108.9</v>
      </c>
      <c r="W24">
        <v>109.3</v>
      </c>
      <c r="X24">
        <f t="shared" si="1"/>
        <v>107.99999999999999</v>
      </c>
      <c r="Y24">
        <v>108.7</v>
      </c>
      <c r="Z24">
        <v>107.6</v>
      </c>
      <c r="AA24">
        <v>108.1</v>
      </c>
      <c r="AB24">
        <v>106.5</v>
      </c>
      <c r="AC24">
        <v>110.8</v>
      </c>
      <c r="AD24">
        <v>106</v>
      </c>
      <c r="AE24">
        <v>108.3</v>
      </c>
      <c r="AF24">
        <v>112.7</v>
      </c>
    </row>
    <row r="25" spans="1:32" x14ac:dyDescent="0.3">
      <c r="A25" t="s">
        <v>54</v>
      </c>
      <c r="B25">
        <v>2013</v>
      </c>
      <c r="C25" t="s">
        <v>61</v>
      </c>
      <c r="D25">
        <f t="shared" si="0"/>
        <v>113.64615384615385</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108.9</v>
      </c>
      <c r="W25">
        <v>109.7</v>
      </c>
      <c r="X25">
        <f t="shared" si="1"/>
        <v>107.71428571428569</v>
      </c>
      <c r="Y25">
        <v>108.7</v>
      </c>
      <c r="Z25">
        <v>107.5</v>
      </c>
      <c r="AA25">
        <v>108</v>
      </c>
      <c r="AB25">
        <v>106.6</v>
      </c>
      <c r="AC25">
        <v>109.9</v>
      </c>
      <c r="AD25">
        <v>105.4</v>
      </c>
      <c r="AE25">
        <v>107.9</v>
      </c>
      <c r="AF25">
        <v>112.4</v>
      </c>
    </row>
    <row r="26" spans="1:32" x14ac:dyDescent="0.3">
      <c r="A26" t="s">
        <v>50</v>
      </c>
      <c r="B26">
        <v>2013</v>
      </c>
      <c r="C26" t="s">
        <v>62</v>
      </c>
      <c r="D26">
        <f t="shared" si="0"/>
        <v>114.50000000000001</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f>AVERAGE(V24:V25)</f>
        <v>108.9</v>
      </c>
      <c r="W26">
        <v>111.1</v>
      </c>
      <c r="X26">
        <f t="shared" si="1"/>
        <v>108.58571428571429</v>
      </c>
      <c r="Y26">
        <v>109.6</v>
      </c>
      <c r="Z26">
        <v>108.3</v>
      </c>
      <c r="AA26">
        <v>109.3</v>
      </c>
      <c r="AB26">
        <v>107.7</v>
      </c>
      <c r="AC26">
        <v>109.8</v>
      </c>
      <c r="AD26">
        <v>106.7</v>
      </c>
      <c r="AE26">
        <v>108.7</v>
      </c>
      <c r="AF26">
        <v>114.2</v>
      </c>
    </row>
    <row r="27" spans="1:32" x14ac:dyDescent="0.3">
      <c r="A27" t="s">
        <v>53</v>
      </c>
      <c r="B27">
        <v>2013</v>
      </c>
      <c r="C27" t="s">
        <v>62</v>
      </c>
      <c r="D27">
        <f t="shared" si="0"/>
        <v>115.41538461538462</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109.7</v>
      </c>
      <c r="W27">
        <v>109.5</v>
      </c>
      <c r="X27">
        <f t="shared" si="1"/>
        <v>108.97142857142856</v>
      </c>
      <c r="Y27">
        <v>109.6</v>
      </c>
      <c r="Z27">
        <v>107.9</v>
      </c>
      <c r="AA27">
        <v>110.4</v>
      </c>
      <c r="AB27">
        <v>107.4</v>
      </c>
      <c r="AC27">
        <v>111.2</v>
      </c>
      <c r="AD27">
        <v>106.9</v>
      </c>
      <c r="AE27">
        <v>109.4</v>
      </c>
      <c r="AF27">
        <v>113.2</v>
      </c>
    </row>
    <row r="28" spans="1:32" x14ac:dyDescent="0.3">
      <c r="A28" t="s">
        <v>54</v>
      </c>
      <c r="B28">
        <v>2013</v>
      </c>
      <c r="C28" t="s">
        <v>62</v>
      </c>
      <c r="D28">
        <f t="shared" si="0"/>
        <v>114.74615384615383</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109.7</v>
      </c>
      <c r="W28">
        <v>110.5</v>
      </c>
      <c r="X28">
        <f t="shared" si="1"/>
        <v>108.78571428571429</v>
      </c>
      <c r="Y28">
        <v>109.6</v>
      </c>
      <c r="Z28">
        <v>108.1</v>
      </c>
      <c r="AA28">
        <v>109.9</v>
      </c>
      <c r="AB28">
        <v>107.5</v>
      </c>
      <c r="AC28">
        <v>110.6</v>
      </c>
      <c r="AD28">
        <v>106.8</v>
      </c>
      <c r="AE28">
        <v>109</v>
      </c>
      <c r="AF28">
        <v>113.7</v>
      </c>
    </row>
    <row r="29" spans="1:32" x14ac:dyDescent="0.3">
      <c r="A29" t="s">
        <v>50</v>
      </c>
      <c r="B29">
        <v>2013</v>
      </c>
      <c r="C29" t="s">
        <v>63</v>
      </c>
      <c r="D29">
        <f t="shared" si="0"/>
        <v>116</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f>AVERAGE(V27:V28)</f>
        <v>109.7</v>
      </c>
      <c r="W29">
        <v>111.6</v>
      </c>
      <c r="X29">
        <f t="shared" si="1"/>
        <v>109.10000000000001</v>
      </c>
      <c r="Y29">
        <v>110.4</v>
      </c>
      <c r="Z29">
        <v>108.9</v>
      </c>
      <c r="AA29">
        <v>109.3</v>
      </c>
      <c r="AB29">
        <v>108.3</v>
      </c>
      <c r="AC29">
        <v>110.2</v>
      </c>
      <c r="AD29">
        <v>107.5</v>
      </c>
      <c r="AE29">
        <v>109.1</v>
      </c>
      <c r="AF29">
        <v>115.5</v>
      </c>
    </row>
    <row r="30" spans="1:32" x14ac:dyDescent="0.3">
      <c r="A30" t="s">
        <v>53</v>
      </c>
      <c r="B30">
        <v>2013</v>
      </c>
      <c r="C30" t="s">
        <v>63</v>
      </c>
      <c r="D30">
        <f t="shared" si="0"/>
        <v>116.7076923076923</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110.5</v>
      </c>
      <c r="W30">
        <v>109.7</v>
      </c>
      <c r="X30">
        <f t="shared" si="1"/>
        <v>109.15714285714284</v>
      </c>
      <c r="Y30">
        <v>110.2</v>
      </c>
      <c r="Z30">
        <v>108.2</v>
      </c>
      <c r="AA30">
        <v>109.7</v>
      </c>
      <c r="AB30">
        <v>108</v>
      </c>
      <c r="AC30">
        <v>111.3</v>
      </c>
      <c r="AD30">
        <v>107.3</v>
      </c>
      <c r="AE30">
        <v>109.4</v>
      </c>
      <c r="AF30">
        <v>114</v>
      </c>
    </row>
    <row r="31" spans="1:32" x14ac:dyDescent="0.3">
      <c r="A31" t="s">
        <v>54</v>
      </c>
      <c r="B31">
        <v>2013</v>
      </c>
      <c r="C31" t="s">
        <v>63</v>
      </c>
      <c r="D31">
        <f t="shared" si="0"/>
        <v>116.16923076923079</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110.5</v>
      </c>
      <c r="W31">
        <v>110.9</v>
      </c>
      <c r="X31">
        <f t="shared" si="1"/>
        <v>109.12857142857142</v>
      </c>
      <c r="Y31">
        <v>110.3</v>
      </c>
      <c r="Z31">
        <v>108.6</v>
      </c>
      <c r="AA31">
        <v>109.5</v>
      </c>
      <c r="AB31">
        <v>108.1</v>
      </c>
      <c r="AC31">
        <v>110.8</v>
      </c>
      <c r="AD31">
        <v>107.4</v>
      </c>
      <c r="AE31">
        <v>109.2</v>
      </c>
      <c r="AF31">
        <v>114.8</v>
      </c>
    </row>
    <row r="32" spans="1:32" x14ac:dyDescent="0.3">
      <c r="A32" t="s">
        <v>50</v>
      </c>
      <c r="B32">
        <v>2013</v>
      </c>
      <c r="C32" t="s">
        <v>64</v>
      </c>
      <c r="D32">
        <f t="shared" si="0"/>
        <v>118.21538461538461</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f>AVERAGE(V30:V31)</f>
        <v>110.5</v>
      </c>
      <c r="W32">
        <v>112.6</v>
      </c>
      <c r="X32">
        <f t="shared" si="1"/>
        <v>109.75714285714285</v>
      </c>
      <c r="Y32">
        <v>111.3</v>
      </c>
      <c r="Z32">
        <v>109.7</v>
      </c>
      <c r="AA32">
        <v>109.6</v>
      </c>
      <c r="AB32">
        <v>108.7</v>
      </c>
      <c r="AC32">
        <v>111</v>
      </c>
      <c r="AD32">
        <v>108.2</v>
      </c>
      <c r="AE32">
        <v>109.8</v>
      </c>
      <c r="AF32">
        <v>117.4</v>
      </c>
    </row>
    <row r="33" spans="1:32" x14ac:dyDescent="0.3">
      <c r="A33" t="s">
        <v>53</v>
      </c>
      <c r="B33">
        <v>2013</v>
      </c>
      <c r="C33" t="s">
        <v>65</v>
      </c>
      <c r="D33">
        <f t="shared" si="0"/>
        <v>118.8153846153846</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111.1</v>
      </c>
      <c r="W33">
        <v>110</v>
      </c>
      <c r="X33">
        <f t="shared" si="1"/>
        <v>109.47142857142856</v>
      </c>
      <c r="Y33">
        <v>110.9</v>
      </c>
      <c r="Z33">
        <v>108.6</v>
      </c>
      <c r="AA33">
        <v>109.5</v>
      </c>
      <c r="AB33">
        <v>108.5</v>
      </c>
      <c r="AC33">
        <v>111.3</v>
      </c>
      <c r="AD33">
        <v>107.9</v>
      </c>
      <c r="AE33">
        <v>109.6</v>
      </c>
      <c r="AF33">
        <v>115</v>
      </c>
    </row>
    <row r="34" spans="1:32" x14ac:dyDescent="0.3">
      <c r="A34" t="s">
        <v>54</v>
      </c>
      <c r="B34">
        <v>2013</v>
      </c>
      <c r="C34" t="s">
        <v>65</v>
      </c>
      <c r="D34">
        <f t="shared" si="0"/>
        <v>118.36923076923077</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111.1</v>
      </c>
      <c r="W34">
        <v>111.6</v>
      </c>
      <c r="X34">
        <f t="shared" si="1"/>
        <v>109.64285714285715</v>
      </c>
      <c r="Y34">
        <v>111.1</v>
      </c>
      <c r="Z34">
        <v>109.3</v>
      </c>
      <c r="AA34">
        <v>109.5</v>
      </c>
      <c r="AB34">
        <v>108.6</v>
      </c>
      <c r="AC34">
        <v>111.2</v>
      </c>
      <c r="AD34">
        <v>108.1</v>
      </c>
      <c r="AE34">
        <v>109.7</v>
      </c>
      <c r="AF34">
        <v>116.3</v>
      </c>
    </row>
    <row r="35" spans="1:32" x14ac:dyDescent="0.3">
      <c r="A35" t="s">
        <v>50</v>
      </c>
      <c r="B35">
        <v>2013</v>
      </c>
      <c r="C35" t="s">
        <v>66</v>
      </c>
      <c r="D35">
        <f t="shared" si="0"/>
        <v>116.07692307692308</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f>AVERAGE(V33:V34)</f>
        <v>111.1</v>
      </c>
      <c r="W35">
        <v>112.8</v>
      </c>
      <c r="X35">
        <f t="shared" si="1"/>
        <v>110.15714285714286</v>
      </c>
      <c r="Y35">
        <v>112.1</v>
      </c>
      <c r="Z35">
        <v>110.1</v>
      </c>
      <c r="AA35">
        <v>109.9</v>
      </c>
      <c r="AB35">
        <v>109.2</v>
      </c>
      <c r="AC35">
        <v>111.6</v>
      </c>
      <c r="AD35">
        <v>108.1</v>
      </c>
      <c r="AE35">
        <v>110.1</v>
      </c>
      <c r="AF35">
        <v>115.5</v>
      </c>
    </row>
    <row r="36" spans="1:32" x14ac:dyDescent="0.3">
      <c r="A36" t="s">
        <v>53</v>
      </c>
      <c r="B36">
        <v>2013</v>
      </c>
      <c r="C36" t="s">
        <v>66</v>
      </c>
      <c r="D36">
        <f t="shared" si="0"/>
        <v>115.72307692307693</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110.7</v>
      </c>
      <c r="W36">
        <v>110.4</v>
      </c>
      <c r="X36">
        <f t="shared" si="1"/>
        <v>109.68571428571428</v>
      </c>
      <c r="Y36">
        <v>111.3</v>
      </c>
      <c r="Z36">
        <v>109</v>
      </c>
      <c r="AA36">
        <v>109.7</v>
      </c>
      <c r="AB36">
        <v>108.9</v>
      </c>
      <c r="AC36">
        <v>111.4</v>
      </c>
      <c r="AD36">
        <v>107.7</v>
      </c>
      <c r="AE36">
        <v>109.8</v>
      </c>
      <c r="AF36">
        <v>113.3</v>
      </c>
    </row>
    <row r="37" spans="1:32" x14ac:dyDescent="0.3">
      <c r="A37" t="s">
        <v>54</v>
      </c>
      <c r="B37">
        <v>2013</v>
      </c>
      <c r="C37" t="s">
        <v>66</v>
      </c>
      <c r="D37">
        <f t="shared" si="0"/>
        <v>115.94615384615386</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110.7</v>
      </c>
      <c r="W37">
        <v>111.9</v>
      </c>
      <c r="X37">
        <f t="shared" si="1"/>
        <v>109.94285714285715</v>
      </c>
      <c r="Y37">
        <v>111.7</v>
      </c>
      <c r="Z37">
        <v>109.7</v>
      </c>
      <c r="AA37">
        <v>109.8</v>
      </c>
      <c r="AB37">
        <v>109</v>
      </c>
      <c r="AC37">
        <v>111.5</v>
      </c>
      <c r="AD37">
        <v>107.9</v>
      </c>
      <c r="AE37">
        <v>110</v>
      </c>
      <c r="AF37">
        <v>114.5</v>
      </c>
    </row>
    <row r="38" spans="1:32" x14ac:dyDescent="0.3">
      <c r="A38" t="s">
        <v>50</v>
      </c>
      <c r="B38">
        <v>2014</v>
      </c>
      <c r="C38" t="s">
        <v>51</v>
      </c>
      <c r="D38">
        <f t="shared" si="0"/>
        <v>114.35384615384616</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f>AVERAGE(V36:V37)</f>
        <v>110.7</v>
      </c>
      <c r="W38">
        <v>113</v>
      </c>
      <c r="X38">
        <f t="shared" si="1"/>
        <v>110.57142857142856</v>
      </c>
      <c r="Y38">
        <v>112.6</v>
      </c>
      <c r="Z38">
        <v>110.6</v>
      </c>
      <c r="AA38">
        <v>110.5</v>
      </c>
      <c r="AB38">
        <v>109.6</v>
      </c>
      <c r="AC38">
        <v>111.8</v>
      </c>
      <c r="AD38">
        <v>108.3</v>
      </c>
      <c r="AE38">
        <v>110.6</v>
      </c>
      <c r="AF38">
        <v>114.2</v>
      </c>
    </row>
    <row r="39" spans="1:32" x14ac:dyDescent="0.3">
      <c r="A39" t="s">
        <v>53</v>
      </c>
      <c r="B39">
        <v>2014</v>
      </c>
      <c r="C39" t="s">
        <v>51</v>
      </c>
      <c r="D39">
        <f t="shared" si="0"/>
        <v>114.17692307692307</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111.6</v>
      </c>
      <c r="W39">
        <v>111</v>
      </c>
      <c r="X39">
        <f t="shared" si="1"/>
        <v>110.31428571428572</v>
      </c>
      <c r="Y39">
        <v>111.9</v>
      </c>
      <c r="Z39">
        <v>109.7</v>
      </c>
      <c r="AA39">
        <v>110.8</v>
      </c>
      <c r="AB39">
        <v>109.8</v>
      </c>
      <c r="AC39">
        <v>111.5</v>
      </c>
      <c r="AD39">
        <v>108</v>
      </c>
      <c r="AE39">
        <v>110.5</v>
      </c>
      <c r="AF39">
        <v>112.9</v>
      </c>
    </row>
    <row r="40" spans="1:32" x14ac:dyDescent="0.3">
      <c r="A40" t="s">
        <v>54</v>
      </c>
      <c r="B40">
        <v>2014</v>
      </c>
      <c r="C40" t="s">
        <v>51</v>
      </c>
      <c r="D40">
        <f t="shared" si="0"/>
        <v>114.29230769230767</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111.6</v>
      </c>
      <c r="W40">
        <v>112.2</v>
      </c>
      <c r="X40">
        <f t="shared" si="1"/>
        <v>110.48571428571429</v>
      </c>
      <c r="Y40">
        <v>112.3</v>
      </c>
      <c r="Z40">
        <v>110.3</v>
      </c>
      <c r="AA40">
        <v>110.7</v>
      </c>
      <c r="AB40">
        <v>109.7</v>
      </c>
      <c r="AC40">
        <v>111.6</v>
      </c>
      <c r="AD40">
        <v>108.2</v>
      </c>
      <c r="AE40">
        <v>110.6</v>
      </c>
      <c r="AF40">
        <v>113.6</v>
      </c>
    </row>
    <row r="41" spans="1:32" x14ac:dyDescent="0.3">
      <c r="A41" t="s">
        <v>50</v>
      </c>
      <c r="B41">
        <v>2014</v>
      </c>
      <c r="C41" t="s">
        <v>55</v>
      </c>
      <c r="D41">
        <f t="shared" si="0"/>
        <v>114.01538461538462</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f>AVERAGE(V39:V40)</f>
        <v>111.6</v>
      </c>
      <c r="W41">
        <v>113.2</v>
      </c>
      <c r="X41">
        <f t="shared" si="1"/>
        <v>110.87142857142858</v>
      </c>
      <c r="Y41">
        <v>112.9</v>
      </c>
      <c r="Z41">
        <v>110.9</v>
      </c>
      <c r="AA41">
        <v>110.8</v>
      </c>
      <c r="AB41">
        <v>109.9</v>
      </c>
      <c r="AC41">
        <v>112</v>
      </c>
      <c r="AD41">
        <v>108.7</v>
      </c>
      <c r="AE41">
        <v>110.9</v>
      </c>
      <c r="AF41">
        <v>114</v>
      </c>
    </row>
    <row r="42" spans="1:32" x14ac:dyDescent="0.3">
      <c r="A42" t="s">
        <v>53</v>
      </c>
      <c r="B42">
        <v>2014</v>
      </c>
      <c r="C42" t="s">
        <v>55</v>
      </c>
      <c r="D42">
        <f t="shared" si="0"/>
        <v>113.53846153846153</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112.5</v>
      </c>
      <c r="W42">
        <v>111.1</v>
      </c>
      <c r="X42">
        <f t="shared" si="1"/>
        <v>110.84285714285716</v>
      </c>
      <c r="Y42">
        <v>112.6</v>
      </c>
      <c r="Z42">
        <v>110.4</v>
      </c>
      <c r="AA42">
        <v>111.3</v>
      </c>
      <c r="AB42">
        <v>110.3</v>
      </c>
      <c r="AC42">
        <v>111.6</v>
      </c>
      <c r="AD42">
        <v>108.7</v>
      </c>
      <c r="AE42">
        <v>111</v>
      </c>
      <c r="AF42">
        <v>113.1</v>
      </c>
    </row>
    <row r="43" spans="1:32" x14ac:dyDescent="0.3">
      <c r="A43" t="s">
        <v>54</v>
      </c>
      <c r="B43">
        <v>2014</v>
      </c>
      <c r="C43" t="s">
        <v>55</v>
      </c>
      <c r="D43">
        <f t="shared" si="0"/>
        <v>113.85384615384615</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112.5</v>
      </c>
      <c r="W43">
        <v>112.4</v>
      </c>
      <c r="X43">
        <f t="shared" si="1"/>
        <v>110.87142857142858</v>
      </c>
      <c r="Y43">
        <v>112.8</v>
      </c>
      <c r="Z43">
        <v>110.7</v>
      </c>
      <c r="AA43">
        <v>111.1</v>
      </c>
      <c r="AB43">
        <v>110.1</v>
      </c>
      <c r="AC43">
        <v>111.8</v>
      </c>
      <c r="AD43">
        <v>108.7</v>
      </c>
      <c r="AE43">
        <v>110.9</v>
      </c>
      <c r="AF43">
        <v>113.6</v>
      </c>
    </row>
    <row r="44" spans="1:32" x14ac:dyDescent="0.3">
      <c r="A44" t="s">
        <v>50</v>
      </c>
      <c r="B44">
        <v>2014</v>
      </c>
      <c r="C44" t="s">
        <v>56</v>
      </c>
      <c r="D44">
        <f t="shared" si="0"/>
        <v>114.72307692307693</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f>AVERAGE(V42:V43)</f>
        <v>112.5</v>
      </c>
      <c r="W44">
        <v>113.4</v>
      </c>
      <c r="X44">
        <f t="shared" si="1"/>
        <v>111.25714285714285</v>
      </c>
      <c r="Y44">
        <v>113.4</v>
      </c>
      <c r="Z44">
        <v>111.4</v>
      </c>
      <c r="AA44">
        <v>111.2</v>
      </c>
      <c r="AB44">
        <v>110.2</v>
      </c>
      <c r="AC44">
        <v>112.4</v>
      </c>
      <c r="AD44">
        <v>108.9</v>
      </c>
      <c r="AE44">
        <v>111.3</v>
      </c>
      <c r="AF44">
        <v>114.6</v>
      </c>
    </row>
    <row r="45" spans="1:32" x14ac:dyDescent="0.3">
      <c r="A45" t="s">
        <v>53</v>
      </c>
      <c r="B45">
        <v>2014</v>
      </c>
      <c r="C45" t="s">
        <v>56</v>
      </c>
      <c r="D45">
        <f t="shared" si="0"/>
        <v>114.07692307692308</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113.2</v>
      </c>
      <c r="W45">
        <v>110.9</v>
      </c>
      <c r="X45">
        <f t="shared" si="1"/>
        <v>111.24285714285713</v>
      </c>
      <c r="Y45">
        <v>113</v>
      </c>
      <c r="Z45">
        <v>110.8</v>
      </c>
      <c r="AA45">
        <v>111.6</v>
      </c>
      <c r="AB45">
        <v>110.9</v>
      </c>
      <c r="AC45">
        <v>111.8</v>
      </c>
      <c r="AD45">
        <v>109.2</v>
      </c>
      <c r="AE45">
        <v>111.4</v>
      </c>
      <c r="AF45">
        <v>113.7</v>
      </c>
    </row>
    <row r="46" spans="1:32" x14ac:dyDescent="0.3">
      <c r="A46" t="s">
        <v>54</v>
      </c>
      <c r="B46">
        <v>2014</v>
      </c>
      <c r="C46" t="s">
        <v>56</v>
      </c>
      <c r="D46">
        <f t="shared" si="0"/>
        <v>114.48461538461537</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113.2</v>
      </c>
      <c r="W46">
        <v>112.5</v>
      </c>
      <c r="X46">
        <f t="shared" si="1"/>
        <v>111.24285714285713</v>
      </c>
      <c r="Y46">
        <v>113.2</v>
      </c>
      <c r="Z46">
        <v>111.2</v>
      </c>
      <c r="AA46">
        <v>111.4</v>
      </c>
      <c r="AB46">
        <v>110.6</v>
      </c>
      <c r="AC46">
        <v>112</v>
      </c>
      <c r="AD46">
        <v>109</v>
      </c>
      <c r="AE46">
        <v>111.3</v>
      </c>
      <c r="AF46">
        <v>114.2</v>
      </c>
    </row>
    <row r="47" spans="1:32" x14ac:dyDescent="0.3">
      <c r="A47" t="s">
        <v>50</v>
      </c>
      <c r="B47">
        <v>2014</v>
      </c>
      <c r="C47" t="s">
        <v>57</v>
      </c>
      <c r="D47">
        <f t="shared" si="0"/>
        <v>115.70000000000002</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f>AVERAGE(V45:V46)</f>
        <v>113.2</v>
      </c>
      <c r="W47">
        <v>113.4</v>
      </c>
      <c r="X47">
        <f t="shared" si="1"/>
        <v>111.51428571428572</v>
      </c>
      <c r="Y47">
        <v>113.7</v>
      </c>
      <c r="Z47">
        <v>111.8</v>
      </c>
      <c r="AA47">
        <v>111.2</v>
      </c>
      <c r="AB47">
        <v>110.5</v>
      </c>
      <c r="AC47">
        <v>113</v>
      </c>
      <c r="AD47">
        <v>108.9</v>
      </c>
      <c r="AE47">
        <v>111.5</v>
      </c>
      <c r="AF47">
        <v>115.4</v>
      </c>
    </row>
    <row r="48" spans="1:32" x14ac:dyDescent="0.3">
      <c r="A48" t="s">
        <v>53</v>
      </c>
      <c r="B48">
        <v>2014</v>
      </c>
      <c r="C48" t="s">
        <v>57</v>
      </c>
      <c r="D48">
        <f t="shared" si="0"/>
        <v>115.69230769230771</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113.9</v>
      </c>
      <c r="W48">
        <v>110.9</v>
      </c>
      <c r="X48">
        <f t="shared" si="1"/>
        <v>111.39999999999999</v>
      </c>
      <c r="Y48">
        <v>113.4</v>
      </c>
      <c r="Z48">
        <v>111</v>
      </c>
      <c r="AA48">
        <v>111.2</v>
      </c>
      <c r="AB48">
        <v>111.2</v>
      </c>
      <c r="AC48">
        <v>112.5</v>
      </c>
      <c r="AD48">
        <v>109.1</v>
      </c>
      <c r="AE48">
        <v>111.4</v>
      </c>
      <c r="AF48">
        <v>114.7</v>
      </c>
    </row>
    <row r="49" spans="1:32" x14ac:dyDescent="0.3">
      <c r="A49" t="s">
        <v>54</v>
      </c>
      <c r="B49">
        <v>2014</v>
      </c>
      <c r="C49" t="s">
        <v>57</v>
      </c>
      <c r="D49">
        <f t="shared" si="0"/>
        <v>115.69999999999999</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113.9</v>
      </c>
      <c r="W49">
        <v>112.5</v>
      </c>
      <c r="X49">
        <f t="shared" si="1"/>
        <v>111.48571428571429</v>
      </c>
      <c r="Y49">
        <v>113.6</v>
      </c>
      <c r="Z49">
        <v>111.5</v>
      </c>
      <c r="AA49">
        <v>111.2</v>
      </c>
      <c r="AB49">
        <v>110.9</v>
      </c>
      <c r="AC49">
        <v>112.7</v>
      </c>
      <c r="AD49">
        <v>109</v>
      </c>
      <c r="AE49">
        <v>111.5</v>
      </c>
      <c r="AF49">
        <v>115.1</v>
      </c>
    </row>
    <row r="50" spans="1:32" x14ac:dyDescent="0.3">
      <c r="A50" t="s">
        <v>50</v>
      </c>
      <c r="B50">
        <v>2014</v>
      </c>
      <c r="C50" t="s">
        <v>58</v>
      </c>
      <c r="D50">
        <f t="shared" si="0"/>
        <v>116.45384615384614</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f>AVERAGE(V48:V49)</f>
        <v>113.9</v>
      </c>
      <c r="W50">
        <v>113.4</v>
      </c>
      <c r="X50">
        <f t="shared" si="1"/>
        <v>111.75714285714285</v>
      </c>
      <c r="Y50">
        <v>114.1</v>
      </c>
      <c r="Z50">
        <v>112.1</v>
      </c>
      <c r="AA50">
        <v>111.4</v>
      </c>
      <c r="AB50">
        <v>110.9</v>
      </c>
      <c r="AC50">
        <v>113.1</v>
      </c>
      <c r="AD50">
        <v>108.9</v>
      </c>
      <c r="AE50">
        <v>111.8</v>
      </c>
      <c r="AF50">
        <v>116</v>
      </c>
    </row>
    <row r="51" spans="1:32" x14ac:dyDescent="0.3">
      <c r="A51" t="s">
        <v>53</v>
      </c>
      <c r="B51">
        <v>2014</v>
      </c>
      <c r="C51" t="s">
        <v>58</v>
      </c>
      <c r="D51">
        <f t="shared" si="0"/>
        <v>117.33076923076925</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114.3</v>
      </c>
      <c r="W51">
        <v>111.1</v>
      </c>
      <c r="X51">
        <f t="shared" si="1"/>
        <v>111.71428571428571</v>
      </c>
      <c r="Y51">
        <v>114.1</v>
      </c>
      <c r="Z51">
        <v>111.2</v>
      </c>
      <c r="AA51">
        <v>111.3</v>
      </c>
      <c r="AB51">
        <v>111.5</v>
      </c>
      <c r="AC51">
        <v>112.9</v>
      </c>
      <c r="AD51">
        <v>109.3</v>
      </c>
      <c r="AE51">
        <v>111.7</v>
      </c>
      <c r="AF51">
        <v>115.6</v>
      </c>
    </row>
    <row r="52" spans="1:32" x14ac:dyDescent="0.3">
      <c r="A52" t="s">
        <v>54</v>
      </c>
      <c r="B52">
        <v>2014</v>
      </c>
      <c r="C52" t="s">
        <v>58</v>
      </c>
      <c r="D52">
        <f t="shared" si="0"/>
        <v>116.80769230769235</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114.3</v>
      </c>
      <c r="W52">
        <v>112.5</v>
      </c>
      <c r="X52">
        <f t="shared" si="1"/>
        <v>111.75714285714285</v>
      </c>
      <c r="Y52">
        <v>114.1</v>
      </c>
      <c r="Z52">
        <v>111.8</v>
      </c>
      <c r="AA52">
        <v>111.3</v>
      </c>
      <c r="AB52">
        <v>111.2</v>
      </c>
      <c r="AC52">
        <v>113</v>
      </c>
      <c r="AD52">
        <v>109.1</v>
      </c>
      <c r="AE52">
        <v>111.8</v>
      </c>
      <c r="AF52">
        <v>115.8</v>
      </c>
    </row>
    <row r="53" spans="1:32" x14ac:dyDescent="0.3">
      <c r="A53" t="s">
        <v>50</v>
      </c>
      <c r="B53">
        <v>2014</v>
      </c>
      <c r="C53" t="s">
        <v>59</v>
      </c>
      <c r="D53">
        <f t="shared" si="0"/>
        <v>117.36153846153844</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f>AVERAGE(V51:V52)</f>
        <v>114.3</v>
      </c>
      <c r="W53">
        <v>114.4</v>
      </c>
      <c r="X53">
        <f t="shared" si="1"/>
        <v>112.27142857142856</v>
      </c>
      <c r="Y53">
        <v>114.9</v>
      </c>
      <c r="Z53">
        <v>112.8</v>
      </c>
      <c r="AA53">
        <v>112.2</v>
      </c>
      <c r="AB53">
        <v>111.4</v>
      </c>
      <c r="AC53">
        <v>114.3</v>
      </c>
      <c r="AD53">
        <v>108</v>
      </c>
      <c r="AE53">
        <v>112.3</v>
      </c>
      <c r="AF53">
        <v>117</v>
      </c>
    </row>
    <row r="54" spans="1:32" x14ac:dyDescent="0.3">
      <c r="A54" t="s">
        <v>53</v>
      </c>
      <c r="B54">
        <v>2014</v>
      </c>
      <c r="C54" t="s">
        <v>59</v>
      </c>
      <c r="D54">
        <f t="shared" si="0"/>
        <v>119</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113.9</v>
      </c>
      <c r="W54">
        <v>111.2</v>
      </c>
      <c r="X54">
        <f t="shared" si="1"/>
        <v>112.14285714285715</v>
      </c>
      <c r="Y54">
        <v>114.3</v>
      </c>
      <c r="Z54">
        <v>111.4</v>
      </c>
      <c r="AA54">
        <v>111.5</v>
      </c>
      <c r="AB54">
        <v>111.8</v>
      </c>
      <c r="AC54">
        <v>115.1</v>
      </c>
      <c r="AD54">
        <v>108.7</v>
      </c>
      <c r="AE54">
        <v>112.2</v>
      </c>
      <c r="AF54">
        <v>116.4</v>
      </c>
    </row>
    <row r="55" spans="1:32" x14ac:dyDescent="0.3">
      <c r="A55" t="s">
        <v>54</v>
      </c>
      <c r="B55">
        <v>2014</v>
      </c>
      <c r="C55" t="s">
        <v>59</v>
      </c>
      <c r="D55">
        <f t="shared" si="0"/>
        <v>117.9769230769231</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113.9</v>
      </c>
      <c r="W55">
        <v>113.2</v>
      </c>
      <c r="X55">
        <f t="shared" si="1"/>
        <v>112.24285714285712</v>
      </c>
      <c r="Y55">
        <v>114.6</v>
      </c>
      <c r="Z55">
        <v>112.3</v>
      </c>
      <c r="AA55">
        <v>111.8</v>
      </c>
      <c r="AB55">
        <v>111.6</v>
      </c>
      <c r="AC55">
        <v>114.8</v>
      </c>
      <c r="AD55">
        <v>108.3</v>
      </c>
      <c r="AE55">
        <v>112.3</v>
      </c>
      <c r="AF55">
        <v>116.7</v>
      </c>
    </row>
    <row r="56" spans="1:32" x14ac:dyDescent="0.3">
      <c r="A56" t="s">
        <v>50</v>
      </c>
      <c r="B56">
        <v>2014</v>
      </c>
      <c r="C56" t="s">
        <v>60</v>
      </c>
      <c r="D56">
        <f t="shared" si="0"/>
        <v>120.24615384615385</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f>AVERAGE(V54:V55)</f>
        <v>113.9</v>
      </c>
      <c r="W56">
        <v>115.3</v>
      </c>
      <c r="X56">
        <f t="shared" si="1"/>
        <v>113.02857142857142</v>
      </c>
      <c r="Y56">
        <v>115.4</v>
      </c>
      <c r="Z56">
        <v>113.4</v>
      </c>
      <c r="AA56">
        <v>113.2</v>
      </c>
      <c r="AB56">
        <v>111.8</v>
      </c>
      <c r="AC56">
        <v>115.5</v>
      </c>
      <c r="AD56">
        <v>108.8</v>
      </c>
      <c r="AE56">
        <v>113.1</v>
      </c>
      <c r="AF56">
        <v>119.5</v>
      </c>
    </row>
    <row r="57" spans="1:32" x14ac:dyDescent="0.3">
      <c r="A57" t="s">
        <v>53</v>
      </c>
      <c r="B57">
        <v>2014</v>
      </c>
      <c r="C57" t="s">
        <v>60</v>
      </c>
      <c r="D57">
        <f t="shared" si="0"/>
        <v>123.03846153846153</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114.8</v>
      </c>
      <c r="W57">
        <v>111.6</v>
      </c>
      <c r="X57">
        <f t="shared" si="1"/>
        <v>113.25714285714285</v>
      </c>
      <c r="Y57">
        <v>114.9</v>
      </c>
      <c r="Z57">
        <v>111.5</v>
      </c>
      <c r="AA57">
        <v>113</v>
      </c>
      <c r="AB57">
        <v>112.4</v>
      </c>
      <c r="AC57">
        <v>117.8</v>
      </c>
      <c r="AD57">
        <v>109.7</v>
      </c>
      <c r="AE57">
        <v>113.5</v>
      </c>
      <c r="AF57">
        <v>118.9</v>
      </c>
    </row>
    <row r="58" spans="1:32" x14ac:dyDescent="0.3">
      <c r="A58" t="s">
        <v>54</v>
      </c>
      <c r="B58">
        <v>2014</v>
      </c>
      <c r="C58" t="s">
        <v>60</v>
      </c>
      <c r="D58">
        <f t="shared" si="0"/>
        <v>121.25384615384615</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114.8</v>
      </c>
      <c r="W58">
        <v>113.9</v>
      </c>
      <c r="X58">
        <f t="shared" si="1"/>
        <v>113.2</v>
      </c>
      <c r="Y58">
        <v>115.2</v>
      </c>
      <c r="Z58">
        <v>112.7</v>
      </c>
      <c r="AA58">
        <v>113.1</v>
      </c>
      <c r="AB58">
        <v>112.1</v>
      </c>
      <c r="AC58">
        <v>116.8</v>
      </c>
      <c r="AD58">
        <v>109.2</v>
      </c>
      <c r="AE58">
        <v>113.3</v>
      </c>
      <c r="AF58">
        <v>119.2</v>
      </c>
    </row>
    <row r="59" spans="1:32" x14ac:dyDescent="0.3">
      <c r="A59" t="s">
        <v>50</v>
      </c>
      <c r="B59">
        <v>2014</v>
      </c>
      <c r="C59" t="s">
        <v>61</v>
      </c>
      <c r="D59">
        <f t="shared" si="0"/>
        <v>121.71538461538459</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f>AVERAGE(V57:V58)</f>
        <v>114.8</v>
      </c>
      <c r="W59">
        <v>115.4</v>
      </c>
      <c r="X59">
        <f t="shared" si="1"/>
        <v>113.48571428571428</v>
      </c>
      <c r="Y59">
        <v>115.9</v>
      </c>
      <c r="Z59">
        <v>114</v>
      </c>
      <c r="AA59">
        <v>113.2</v>
      </c>
      <c r="AB59">
        <v>112.2</v>
      </c>
      <c r="AC59">
        <v>116.2</v>
      </c>
      <c r="AD59">
        <v>109.4</v>
      </c>
      <c r="AE59">
        <v>113.5</v>
      </c>
      <c r="AF59">
        <v>120.7</v>
      </c>
    </row>
    <row r="60" spans="1:32" x14ac:dyDescent="0.3">
      <c r="A60" t="s">
        <v>53</v>
      </c>
      <c r="B60">
        <v>2014</v>
      </c>
      <c r="C60" t="s">
        <v>61</v>
      </c>
      <c r="D60">
        <f t="shared" si="0"/>
        <v>124.38461538461539</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115.5</v>
      </c>
      <c r="W60">
        <v>111.8</v>
      </c>
      <c r="X60">
        <f t="shared" si="1"/>
        <v>113.78571428571429</v>
      </c>
      <c r="Y60">
        <v>115.3</v>
      </c>
      <c r="Z60">
        <v>112.2</v>
      </c>
      <c r="AA60">
        <v>112.5</v>
      </c>
      <c r="AB60">
        <v>112.9</v>
      </c>
      <c r="AC60">
        <v>119.2</v>
      </c>
      <c r="AD60">
        <v>110.5</v>
      </c>
      <c r="AE60">
        <v>113.9</v>
      </c>
      <c r="AF60">
        <v>119.9</v>
      </c>
    </row>
    <row r="61" spans="1:32" x14ac:dyDescent="0.3">
      <c r="A61" t="s">
        <v>54</v>
      </c>
      <c r="B61">
        <v>2014</v>
      </c>
      <c r="C61" t="s">
        <v>61</v>
      </c>
      <c r="D61">
        <f t="shared" si="0"/>
        <v>122.65384615384613</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115.5</v>
      </c>
      <c r="W61">
        <v>114</v>
      </c>
      <c r="X61">
        <f t="shared" si="1"/>
        <v>113.7</v>
      </c>
      <c r="Y61">
        <v>115.6</v>
      </c>
      <c r="Z61">
        <v>113.3</v>
      </c>
      <c r="AA61">
        <v>112.8</v>
      </c>
      <c r="AB61">
        <v>112.6</v>
      </c>
      <c r="AC61">
        <v>118</v>
      </c>
      <c r="AD61">
        <v>109.9</v>
      </c>
      <c r="AE61">
        <v>113.7</v>
      </c>
      <c r="AF61">
        <v>120.3</v>
      </c>
    </row>
    <row r="62" spans="1:32" x14ac:dyDescent="0.3">
      <c r="A62" t="s">
        <v>50</v>
      </c>
      <c r="B62">
        <v>2014</v>
      </c>
      <c r="C62" t="s">
        <v>62</v>
      </c>
      <c r="D62">
        <f t="shared" si="0"/>
        <v>121.78461538461539</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f>AVERAGE(V60:V61)</f>
        <v>115.5</v>
      </c>
      <c r="W62">
        <v>115.8</v>
      </c>
      <c r="X62">
        <f t="shared" si="1"/>
        <v>113.71428571428574</v>
      </c>
      <c r="Y62">
        <v>116.7</v>
      </c>
      <c r="Z62">
        <v>114.5</v>
      </c>
      <c r="AA62">
        <v>112.8</v>
      </c>
      <c r="AB62">
        <v>112.6</v>
      </c>
      <c r="AC62">
        <v>116.6</v>
      </c>
      <c r="AD62">
        <v>109.1</v>
      </c>
      <c r="AE62">
        <v>113.7</v>
      </c>
      <c r="AF62">
        <v>120.9</v>
      </c>
    </row>
    <row r="63" spans="1:32" x14ac:dyDescent="0.3">
      <c r="A63" t="s">
        <v>53</v>
      </c>
      <c r="B63">
        <v>2014</v>
      </c>
      <c r="C63" t="s">
        <v>62</v>
      </c>
      <c r="D63">
        <f t="shared" si="0"/>
        <v>122.59230769230771</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116.1</v>
      </c>
      <c r="W63">
        <v>111.8</v>
      </c>
      <c r="X63">
        <f t="shared" si="1"/>
        <v>113.71428571428571</v>
      </c>
      <c r="Y63">
        <v>115.5</v>
      </c>
      <c r="Z63">
        <v>112.3</v>
      </c>
      <c r="AA63">
        <v>111.2</v>
      </c>
      <c r="AB63">
        <v>113.4</v>
      </c>
      <c r="AC63">
        <v>120</v>
      </c>
      <c r="AD63">
        <v>110</v>
      </c>
      <c r="AE63">
        <v>113.6</v>
      </c>
      <c r="AF63">
        <v>119.2</v>
      </c>
    </row>
    <row r="64" spans="1:32" x14ac:dyDescent="0.3">
      <c r="A64" t="s">
        <v>54</v>
      </c>
      <c r="B64">
        <v>2014</v>
      </c>
      <c r="C64" t="s">
        <v>62</v>
      </c>
      <c r="D64">
        <f t="shared" si="0"/>
        <v>122.00769230769228</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116.1</v>
      </c>
      <c r="W64">
        <v>114.3</v>
      </c>
      <c r="X64">
        <f t="shared" si="1"/>
        <v>113.81428571428572</v>
      </c>
      <c r="Y64">
        <v>116.1</v>
      </c>
      <c r="Z64">
        <v>113.7</v>
      </c>
      <c r="AA64">
        <v>112</v>
      </c>
      <c r="AB64">
        <v>113.1</v>
      </c>
      <c r="AC64">
        <v>118.6</v>
      </c>
      <c r="AD64">
        <v>109.5</v>
      </c>
      <c r="AE64">
        <v>113.7</v>
      </c>
      <c r="AF64">
        <v>120.1</v>
      </c>
    </row>
    <row r="65" spans="1:32" x14ac:dyDescent="0.3">
      <c r="A65" t="s">
        <v>50</v>
      </c>
      <c r="B65">
        <v>2014</v>
      </c>
      <c r="C65" t="s">
        <v>63</v>
      </c>
      <c r="D65">
        <f t="shared" si="0"/>
        <v>121.63076923076922</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f>AVERAGE(V63:V64)</f>
        <v>116.1</v>
      </c>
      <c r="W65">
        <v>116.4</v>
      </c>
      <c r="X65">
        <f t="shared" si="1"/>
        <v>114.08571428571427</v>
      </c>
      <c r="Y65">
        <v>117.5</v>
      </c>
      <c r="Z65">
        <v>115.3</v>
      </c>
      <c r="AA65">
        <v>112.6</v>
      </c>
      <c r="AB65">
        <v>113</v>
      </c>
      <c r="AC65">
        <v>116.9</v>
      </c>
      <c r="AD65">
        <v>109.3</v>
      </c>
      <c r="AE65">
        <v>114</v>
      </c>
      <c r="AF65">
        <v>121</v>
      </c>
    </row>
    <row r="66" spans="1:32" x14ac:dyDescent="0.3">
      <c r="A66" t="s">
        <v>53</v>
      </c>
      <c r="B66">
        <v>2014</v>
      </c>
      <c r="C66" t="s">
        <v>63</v>
      </c>
      <c r="D66">
        <f t="shared" si="0"/>
        <v>122.11538461538461</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116.7</v>
      </c>
      <c r="W66">
        <v>112</v>
      </c>
      <c r="X66">
        <f t="shared" si="1"/>
        <v>113.85714285714288</v>
      </c>
      <c r="Y66">
        <v>115.8</v>
      </c>
      <c r="Z66">
        <v>112.6</v>
      </c>
      <c r="AA66">
        <v>111</v>
      </c>
      <c r="AB66">
        <v>113.6</v>
      </c>
      <c r="AC66">
        <v>120.2</v>
      </c>
      <c r="AD66">
        <v>110.1</v>
      </c>
      <c r="AE66">
        <v>113.7</v>
      </c>
      <c r="AF66">
        <v>119.1</v>
      </c>
    </row>
    <row r="67" spans="1:32" x14ac:dyDescent="0.3">
      <c r="A67" t="s">
        <v>54</v>
      </c>
      <c r="B67">
        <v>2014</v>
      </c>
      <c r="C67" t="s">
        <v>63</v>
      </c>
      <c r="D67">
        <f t="shared" ref="D67:D130" si="2">AVERAGE(E67:Q67)</f>
        <v>121.74615384615385</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116.7</v>
      </c>
      <c r="W67">
        <v>114.7</v>
      </c>
      <c r="X67">
        <f t="shared" ref="X67:X130" si="3">AVERAGE(Y67:AE67)</f>
        <v>114.05714285714285</v>
      </c>
      <c r="Y67">
        <v>116.7</v>
      </c>
      <c r="Z67">
        <v>114.3</v>
      </c>
      <c r="AA67">
        <v>111.8</v>
      </c>
      <c r="AB67">
        <v>113.3</v>
      </c>
      <c r="AC67">
        <v>118.8</v>
      </c>
      <c r="AD67">
        <v>109.6</v>
      </c>
      <c r="AE67">
        <v>113.9</v>
      </c>
      <c r="AF67">
        <v>120.1</v>
      </c>
    </row>
    <row r="68" spans="1:32" x14ac:dyDescent="0.3">
      <c r="A68" t="s">
        <v>50</v>
      </c>
      <c r="B68">
        <v>2014</v>
      </c>
      <c r="C68" t="s">
        <v>65</v>
      </c>
      <c r="D68">
        <f t="shared" si="2"/>
        <v>121.69230769230769</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f>AVERAGE(V66:V67)</f>
        <v>116.7</v>
      </c>
      <c r="W68">
        <v>117.3</v>
      </c>
      <c r="X68">
        <f t="shared" si="3"/>
        <v>114.2</v>
      </c>
      <c r="Y68">
        <v>118.1</v>
      </c>
      <c r="Z68">
        <v>115.9</v>
      </c>
      <c r="AA68">
        <v>112</v>
      </c>
      <c r="AB68">
        <v>113.3</v>
      </c>
      <c r="AC68">
        <v>117.2</v>
      </c>
      <c r="AD68">
        <v>108.8</v>
      </c>
      <c r="AE68">
        <v>114.1</v>
      </c>
      <c r="AF68">
        <v>121.1</v>
      </c>
    </row>
    <row r="69" spans="1:32" x14ac:dyDescent="0.3">
      <c r="A69" t="s">
        <v>53</v>
      </c>
      <c r="B69">
        <v>2014</v>
      </c>
      <c r="C69" t="s">
        <v>65</v>
      </c>
      <c r="D69">
        <f t="shared" si="2"/>
        <v>122.13846153846154</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117.1</v>
      </c>
      <c r="W69">
        <v>112.6</v>
      </c>
      <c r="X69">
        <f t="shared" si="3"/>
        <v>113.77142857142857</v>
      </c>
      <c r="Y69">
        <v>116.4</v>
      </c>
      <c r="Z69">
        <v>113</v>
      </c>
      <c r="AA69">
        <v>109.7</v>
      </c>
      <c r="AB69">
        <v>114</v>
      </c>
      <c r="AC69">
        <v>120.3</v>
      </c>
      <c r="AD69">
        <v>109.6</v>
      </c>
      <c r="AE69">
        <v>113.4</v>
      </c>
      <c r="AF69">
        <v>119</v>
      </c>
    </row>
    <row r="70" spans="1:32" x14ac:dyDescent="0.3">
      <c r="A70" t="s">
        <v>54</v>
      </c>
      <c r="B70">
        <v>2014</v>
      </c>
      <c r="C70" t="s">
        <v>65</v>
      </c>
      <c r="D70">
        <f t="shared" si="2"/>
        <v>121.78461538461539</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117.1</v>
      </c>
      <c r="W70">
        <v>115.5</v>
      </c>
      <c r="X70">
        <f t="shared" si="3"/>
        <v>114.07142857142856</v>
      </c>
      <c r="Y70">
        <v>117.3</v>
      </c>
      <c r="Z70">
        <v>114.8</v>
      </c>
      <c r="AA70">
        <v>110.8</v>
      </c>
      <c r="AB70">
        <v>113.7</v>
      </c>
      <c r="AC70">
        <v>119</v>
      </c>
      <c r="AD70">
        <v>109.1</v>
      </c>
      <c r="AE70">
        <v>113.8</v>
      </c>
      <c r="AF70">
        <v>120.1</v>
      </c>
    </row>
    <row r="71" spans="1:32" x14ac:dyDescent="0.3">
      <c r="A71" t="s">
        <v>50</v>
      </c>
      <c r="B71">
        <v>2014</v>
      </c>
      <c r="C71" t="s">
        <v>66</v>
      </c>
      <c r="D71">
        <f t="shared" si="2"/>
        <v>120.73846153846154</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f>AVERAGE(V69:V70)</f>
        <v>117.1</v>
      </c>
      <c r="W71">
        <v>117.4</v>
      </c>
      <c r="X71">
        <f t="shared" si="3"/>
        <v>114.35714285714286</v>
      </c>
      <c r="Y71">
        <v>118.2</v>
      </c>
      <c r="Z71">
        <v>116.2</v>
      </c>
      <c r="AA71">
        <v>111.5</v>
      </c>
      <c r="AB71">
        <v>113.3</v>
      </c>
      <c r="AC71">
        <v>117.7</v>
      </c>
      <c r="AD71">
        <v>109.4</v>
      </c>
      <c r="AE71">
        <v>114.2</v>
      </c>
      <c r="AF71">
        <v>120.3</v>
      </c>
    </row>
    <row r="72" spans="1:32" x14ac:dyDescent="0.3">
      <c r="A72" t="s">
        <v>53</v>
      </c>
      <c r="B72">
        <v>2014</v>
      </c>
      <c r="C72" t="s">
        <v>66</v>
      </c>
      <c r="D72">
        <f t="shared" si="2"/>
        <v>121.32307692307691</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116.5</v>
      </c>
      <c r="W72">
        <v>113</v>
      </c>
      <c r="X72">
        <f t="shared" si="3"/>
        <v>113.94285714285715</v>
      </c>
      <c r="Y72">
        <v>116.8</v>
      </c>
      <c r="Z72">
        <v>113.2</v>
      </c>
      <c r="AA72">
        <v>108.8</v>
      </c>
      <c r="AB72">
        <v>114.3</v>
      </c>
      <c r="AC72">
        <v>120.7</v>
      </c>
      <c r="AD72">
        <v>110.4</v>
      </c>
      <c r="AE72">
        <v>113.4</v>
      </c>
      <c r="AF72">
        <v>118.4</v>
      </c>
    </row>
    <row r="73" spans="1:32" x14ac:dyDescent="0.3">
      <c r="A73" t="s">
        <v>54</v>
      </c>
      <c r="B73">
        <v>2014</v>
      </c>
      <c r="C73" t="s">
        <v>66</v>
      </c>
      <c r="D73">
        <f t="shared" si="2"/>
        <v>120.89999999999999</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116.5</v>
      </c>
      <c r="W73">
        <v>115.7</v>
      </c>
      <c r="X73">
        <f t="shared" si="3"/>
        <v>114.24285714285713</v>
      </c>
      <c r="Y73">
        <v>117.5</v>
      </c>
      <c r="Z73">
        <v>115.1</v>
      </c>
      <c r="AA73">
        <v>110.1</v>
      </c>
      <c r="AB73">
        <v>113.9</v>
      </c>
      <c r="AC73">
        <v>119.5</v>
      </c>
      <c r="AD73">
        <v>109.8</v>
      </c>
      <c r="AE73">
        <v>113.8</v>
      </c>
      <c r="AF73">
        <v>119.4</v>
      </c>
    </row>
    <row r="74" spans="1:32" x14ac:dyDescent="0.3">
      <c r="A74" t="s">
        <v>50</v>
      </c>
      <c r="B74">
        <v>2015</v>
      </c>
      <c r="C74" t="s">
        <v>51</v>
      </c>
      <c r="D74">
        <f t="shared" si="2"/>
        <v>120.62307692307692</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f>AVERAGE(V72:V73)</f>
        <v>116.5</v>
      </c>
      <c r="W74">
        <v>118.4</v>
      </c>
      <c r="X74">
        <f t="shared" si="3"/>
        <v>114.77142857142859</v>
      </c>
      <c r="Y74">
        <v>118.9</v>
      </c>
      <c r="Z74">
        <v>116.6</v>
      </c>
      <c r="AA74">
        <v>111</v>
      </c>
      <c r="AB74">
        <v>114</v>
      </c>
      <c r="AC74">
        <v>118.2</v>
      </c>
      <c r="AD74">
        <v>110.2</v>
      </c>
      <c r="AE74">
        <v>114.5</v>
      </c>
      <c r="AF74">
        <v>120.3</v>
      </c>
    </row>
    <row r="75" spans="1:32" x14ac:dyDescent="0.3">
      <c r="A75" t="s">
        <v>53</v>
      </c>
      <c r="B75">
        <v>2015</v>
      </c>
      <c r="C75" t="s">
        <v>51</v>
      </c>
      <c r="D75">
        <f t="shared" si="2"/>
        <v>121.14615384615384</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117.3</v>
      </c>
      <c r="W75">
        <v>113.4</v>
      </c>
      <c r="X75">
        <f t="shared" si="3"/>
        <v>114.14285714285712</v>
      </c>
      <c r="Y75">
        <v>117.2</v>
      </c>
      <c r="Z75">
        <v>113.7</v>
      </c>
      <c r="AA75">
        <v>107.9</v>
      </c>
      <c r="AB75">
        <v>114.6</v>
      </c>
      <c r="AC75">
        <v>120.8</v>
      </c>
      <c r="AD75">
        <v>111.4</v>
      </c>
      <c r="AE75">
        <v>113.4</v>
      </c>
      <c r="AF75">
        <v>118.5</v>
      </c>
    </row>
    <row r="76" spans="1:32" x14ac:dyDescent="0.3">
      <c r="A76" t="s">
        <v>54</v>
      </c>
      <c r="B76">
        <v>2015</v>
      </c>
      <c r="C76" t="s">
        <v>51</v>
      </c>
      <c r="D76">
        <f t="shared" si="2"/>
        <v>120.71538461538461</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117.3</v>
      </c>
      <c r="W76">
        <v>116.5</v>
      </c>
      <c r="X76">
        <f t="shared" si="3"/>
        <v>114.52857142857144</v>
      </c>
      <c r="Y76">
        <v>118.1</v>
      </c>
      <c r="Z76">
        <v>115.5</v>
      </c>
      <c r="AA76">
        <v>109.4</v>
      </c>
      <c r="AB76">
        <v>114.3</v>
      </c>
      <c r="AC76">
        <v>119.7</v>
      </c>
      <c r="AD76">
        <v>110.7</v>
      </c>
      <c r="AE76">
        <v>114</v>
      </c>
      <c r="AF76">
        <v>119.5</v>
      </c>
    </row>
    <row r="77" spans="1:32" x14ac:dyDescent="0.3">
      <c r="A77" t="s">
        <v>50</v>
      </c>
      <c r="B77">
        <v>2015</v>
      </c>
      <c r="C77" t="s">
        <v>55</v>
      </c>
      <c r="D77">
        <f t="shared" si="2"/>
        <v>120.81538461538459</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f>AVERAGE(V75:V76)</f>
        <v>117.3</v>
      </c>
      <c r="W77">
        <v>120</v>
      </c>
      <c r="X77">
        <f t="shared" si="3"/>
        <v>115.35714285714286</v>
      </c>
      <c r="Y77">
        <v>119.6</v>
      </c>
      <c r="Z77">
        <v>117.7</v>
      </c>
      <c r="AA77">
        <v>110.9</v>
      </c>
      <c r="AB77">
        <v>114.8</v>
      </c>
      <c r="AC77">
        <v>118.7</v>
      </c>
      <c r="AD77">
        <v>110.8</v>
      </c>
      <c r="AE77">
        <v>115</v>
      </c>
      <c r="AF77">
        <v>120.6</v>
      </c>
    </row>
    <row r="78" spans="1:32" x14ac:dyDescent="0.3">
      <c r="A78" t="s">
        <v>53</v>
      </c>
      <c r="B78">
        <v>2015</v>
      </c>
      <c r="C78" t="s">
        <v>55</v>
      </c>
      <c r="D78">
        <f t="shared" si="2"/>
        <v>120.85384615384616</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118.1</v>
      </c>
      <c r="W78">
        <v>114</v>
      </c>
      <c r="X78">
        <f t="shared" si="3"/>
        <v>114.11428571428573</v>
      </c>
      <c r="Y78">
        <v>117.7</v>
      </c>
      <c r="Z78">
        <v>114.1</v>
      </c>
      <c r="AA78">
        <v>106.8</v>
      </c>
      <c r="AB78">
        <v>114.9</v>
      </c>
      <c r="AC78">
        <v>120.4</v>
      </c>
      <c r="AD78">
        <v>111.7</v>
      </c>
      <c r="AE78">
        <v>113.2</v>
      </c>
      <c r="AF78">
        <v>118.7</v>
      </c>
    </row>
    <row r="79" spans="1:32" x14ac:dyDescent="0.3">
      <c r="A79" t="s">
        <v>54</v>
      </c>
      <c r="B79">
        <v>2015</v>
      </c>
      <c r="C79" t="s">
        <v>55</v>
      </c>
      <c r="D79">
        <f t="shared" si="2"/>
        <v>120.72307692307689</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118.1</v>
      </c>
      <c r="W79">
        <v>117.7</v>
      </c>
      <c r="X79">
        <f t="shared" si="3"/>
        <v>114.80000000000003</v>
      </c>
      <c r="Y79">
        <v>118.7</v>
      </c>
      <c r="Z79">
        <v>116.3</v>
      </c>
      <c r="AA79">
        <v>108.7</v>
      </c>
      <c r="AB79">
        <v>114.9</v>
      </c>
      <c r="AC79">
        <v>119.7</v>
      </c>
      <c r="AD79">
        <v>111.2</v>
      </c>
      <c r="AE79">
        <v>114.1</v>
      </c>
      <c r="AF79">
        <v>119.7</v>
      </c>
    </row>
    <row r="80" spans="1:32" x14ac:dyDescent="0.3">
      <c r="A80" t="s">
        <v>50</v>
      </c>
      <c r="B80">
        <v>2015</v>
      </c>
      <c r="C80" t="s">
        <v>56</v>
      </c>
      <c r="D80">
        <f t="shared" si="2"/>
        <v>120.88461538461539</v>
      </c>
      <c r="E80">
        <v>123.3</v>
      </c>
      <c r="F80">
        <v>124.7</v>
      </c>
      <c r="G80">
        <v>118.9</v>
      </c>
      <c r="H80">
        <v>126</v>
      </c>
      <c r="I80">
        <v>111.8</v>
      </c>
      <c r="J80">
        <v>130.9</v>
      </c>
      <c r="K80">
        <v>128</v>
      </c>
      <c r="L80">
        <v>119.9</v>
      </c>
      <c r="M80">
        <v>98.9</v>
      </c>
      <c r="N80">
        <v>119.4</v>
      </c>
      <c r="O80">
        <v>118.9</v>
      </c>
      <c r="P80">
        <v>127.7</v>
      </c>
      <c r="Q80">
        <v>123.1</v>
      </c>
      <c r="R80">
        <v>124.7</v>
      </c>
      <c r="S80">
        <v>126</v>
      </c>
      <c r="T80">
        <v>122.9</v>
      </c>
      <c r="U80">
        <v>125.5</v>
      </c>
      <c r="V80">
        <f>AVERAGE(V78:V79)</f>
        <v>118.1</v>
      </c>
      <c r="W80">
        <v>120.6</v>
      </c>
      <c r="X80">
        <f t="shared" si="3"/>
        <v>115.88571428571427</v>
      </c>
      <c r="Y80">
        <v>120.2</v>
      </c>
      <c r="Z80">
        <v>118.2</v>
      </c>
      <c r="AA80">
        <v>111.6</v>
      </c>
      <c r="AB80">
        <v>115.5</v>
      </c>
      <c r="AC80">
        <v>119.4</v>
      </c>
      <c r="AD80">
        <v>110.8</v>
      </c>
      <c r="AE80">
        <v>115.5</v>
      </c>
      <c r="AF80">
        <v>121.1</v>
      </c>
    </row>
    <row r="81" spans="1:32" x14ac:dyDescent="0.3">
      <c r="A81" t="s">
        <v>53</v>
      </c>
      <c r="B81">
        <v>2015</v>
      </c>
      <c r="C81" t="s">
        <v>56</v>
      </c>
      <c r="D81">
        <f t="shared" si="2"/>
        <v>120.61538461538463</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118.6</v>
      </c>
      <c r="W81">
        <v>114.4</v>
      </c>
      <c r="X81">
        <f t="shared" si="3"/>
        <v>114.54285714285713</v>
      </c>
      <c r="Y81">
        <v>118</v>
      </c>
      <c r="Z81">
        <v>114.3</v>
      </c>
      <c r="AA81">
        <v>108.4</v>
      </c>
      <c r="AB81">
        <v>115.4</v>
      </c>
      <c r="AC81">
        <v>120.6</v>
      </c>
      <c r="AD81">
        <v>111.3</v>
      </c>
      <c r="AE81">
        <v>113.8</v>
      </c>
      <c r="AF81">
        <v>119.1</v>
      </c>
    </row>
    <row r="82" spans="1:32" x14ac:dyDescent="0.3">
      <c r="A82" t="s">
        <v>54</v>
      </c>
      <c r="B82">
        <v>2015</v>
      </c>
      <c r="C82" t="s">
        <v>56</v>
      </c>
      <c r="D82">
        <f t="shared" si="2"/>
        <v>120.69999999999999</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118.6</v>
      </c>
      <c r="W82">
        <v>118.3</v>
      </c>
      <c r="X82">
        <f t="shared" si="3"/>
        <v>115.28571428571431</v>
      </c>
      <c r="Y82">
        <v>119.2</v>
      </c>
      <c r="Z82">
        <v>116.7</v>
      </c>
      <c r="AA82">
        <v>109.9</v>
      </c>
      <c r="AB82">
        <v>115.4</v>
      </c>
      <c r="AC82">
        <v>120.1</v>
      </c>
      <c r="AD82">
        <v>111</v>
      </c>
      <c r="AE82">
        <v>114.7</v>
      </c>
      <c r="AF82">
        <v>120.2</v>
      </c>
    </row>
    <row r="83" spans="1:32" x14ac:dyDescent="0.3">
      <c r="A83" t="s">
        <v>50</v>
      </c>
      <c r="B83">
        <v>2015</v>
      </c>
      <c r="C83" t="s">
        <v>57</v>
      </c>
      <c r="D83">
        <f t="shared" si="2"/>
        <v>121.32307692307693</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f>AVERAGE(V81:V82)</f>
        <v>118.6</v>
      </c>
      <c r="W83">
        <v>121.2</v>
      </c>
      <c r="X83">
        <f t="shared" si="3"/>
        <v>116.44285714285715</v>
      </c>
      <c r="Y83">
        <v>120.9</v>
      </c>
      <c r="Z83">
        <v>118.6</v>
      </c>
      <c r="AA83">
        <v>111.9</v>
      </c>
      <c r="AB83">
        <v>116.2</v>
      </c>
      <c r="AC83">
        <v>119.9</v>
      </c>
      <c r="AD83">
        <v>111.6</v>
      </c>
      <c r="AE83">
        <v>116</v>
      </c>
      <c r="AF83">
        <v>121.5</v>
      </c>
    </row>
    <row r="84" spans="1:32" x14ac:dyDescent="0.3">
      <c r="A84" t="s">
        <v>53</v>
      </c>
      <c r="B84">
        <v>2015</v>
      </c>
      <c r="C84" t="s">
        <v>57</v>
      </c>
      <c r="D84">
        <f t="shared" si="2"/>
        <v>121.23846153846154</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119.2</v>
      </c>
      <c r="W84">
        <v>114.7</v>
      </c>
      <c r="X84">
        <f t="shared" si="3"/>
        <v>114.95714285714287</v>
      </c>
      <c r="Y84">
        <v>118.4</v>
      </c>
      <c r="Z84">
        <v>114.6</v>
      </c>
      <c r="AA84">
        <v>108.4</v>
      </c>
      <c r="AB84">
        <v>115.6</v>
      </c>
      <c r="AC84">
        <v>121.7</v>
      </c>
      <c r="AD84">
        <v>111.8</v>
      </c>
      <c r="AE84">
        <v>114.2</v>
      </c>
      <c r="AF84">
        <v>119.7</v>
      </c>
    </row>
    <row r="85" spans="1:32" x14ac:dyDescent="0.3">
      <c r="A85" t="s">
        <v>54</v>
      </c>
      <c r="B85">
        <v>2015</v>
      </c>
      <c r="C85" t="s">
        <v>57</v>
      </c>
      <c r="D85">
        <f t="shared" si="2"/>
        <v>121.20769230769231</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119.2</v>
      </c>
      <c r="W85">
        <v>118.7</v>
      </c>
      <c r="X85">
        <f t="shared" si="3"/>
        <v>115.8</v>
      </c>
      <c r="Y85">
        <v>119.7</v>
      </c>
      <c r="Z85">
        <v>117.1</v>
      </c>
      <c r="AA85">
        <v>110.1</v>
      </c>
      <c r="AB85">
        <v>115.9</v>
      </c>
      <c r="AC85">
        <v>121</v>
      </c>
      <c r="AD85">
        <v>111.7</v>
      </c>
      <c r="AE85">
        <v>115.1</v>
      </c>
      <c r="AF85">
        <v>120.7</v>
      </c>
    </row>
    <row r="86" spans="1:32" x14ac:dyDescent="0.3">
      <c r="A86" t="s">
        <v>50</v>
      </c>
      <c r="B86">
        <v>2015</v>
      </c>
      <c r="C86" t="s">
        <v>58</v>
      </c>
      <c r="D86">
        <f t="shared" si="2"/>
        <v>122.13076923076923</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f>AVERAGE(V84:V85)</f>
        <v>119.2</v>
      </c>
      <c r="W86">
        <v>121.9</v>
      </c>
      <c r="X86">
        <f t="shared" si="3"/>
        <v>117.22857142857141</v>
      </c>
      <c r="Y86">
        <v>121.5</v>
      </c>
      <c r="Z86">
        <v>119.4</v>
      </c>
      <c r="AA86">
        <v>113.3</v>
      </c>
      <c r="AB86">
        <v>116.7</v>
      </c>
      <c r="AC86">
        <v>120.5</v>
      </c>
      <c r="AD86">
        <v>112.3</v>
      </c>
      <c r="AE86">
        <v>116.9</v>
      </c>
      <c r="AF86">
        <v>122.4</v>
      </c>
    </row>
    <row r="87" spans="1:32" x14ac:dyDescent="0.3">
      <c r="A87" t="s">
        <v>53</v>
      </c>
      <c r="B87">
        <v>2015</v>
      </c>
      <c r="C87" t="s">
        <v>58</v>
      </c>
      <c r="D87">
        <f t="shared" si="2"/>
        <v>122.9923076923077</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119.6</v>
      </c>
      <c r="W87">
        <v>114.9</v>
      </c>
      <c r="X87">
        <f t="shared" si="3"/>
        <v>115.71428571428574</v>
      </c>
      <c r="Y87">
        <v>118.7</v>
      </c>
      <c r="Z87">
        <v>114.9</v>
      </c>
      <c r="AA87">
        <v>110.8</v>
      </c>
      <c r="AB87">
        <v>116</v>
      </c>
      <c r="AC87">
        <v>122</v>
      </c>
      <c r="AD87">
        <v>112.4</v>
      </c>
      <c r="AE87">
        <v>115.2</v>
      </c>
      <c r="AF87">
        <v>120.7</v>
      </c>
    </row>
    <row r="88" spans="1:32" x14ac:dyDescent="0.3">
      <c r="A88" t="s">
        <v>54</v>
      </c>
      <c r="B88">
        <v>2015</v>
      </c>
      <c r="C88" t="s">
        <v>58</v>
      </c>
      <c r="D88">
        <f t="shared" si="2"/>
        <v>122.33846153846154</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119.6</v>
      </c>
      <c r="W88">
        <v>119.2</v>
      </c>
      <c r="X88">
        <f t="shared" si="3"/>
        <v>116.57142857142857</v>
      </c>
      <c r="Y88">
        <v>120.2</v>
      </c>
      <c r="Z88">
        <v>117.7</v>
      </c>
      <c r="AA88">
        <v>112</v>
      </c>
      <c r="AB88">
        <v>116.3</v>
      </c>
      <c r="AC88">
        <v>121.4</v>
      </c>
      <c r="AD88">
        <v>112.3</v>
      </c>
      <c r="AE88">
        <v>116.1</v>
      </c>
      <c r="AF88">
        <v>121.6</v>
      </c>
    </row>
    <row r="89" spans="1:32" x14ac:dyDescent="0.3">
      <c r="A89" t="s">
        <v>50</v>
      </c>
      <c r="B89">
        <v>2015</v>
      </c>
      <c r="C89" t="s">
        <v>59</v>
      </c>
      <c r="D89">
        <f t="shared" si="2"/>
        <v>124.45384615384614</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f>AVERAGE(V87:V88)</f>
        <v>119.6</v>
      </c>
      <c r="W89">
        <v>122.6</v>
      </c>
      <c r="X89">
        <f t="shared" si="3"/>
        <v>118.3142857142857</v>
      </c>
      <c r="Y89">
        <v>122.8</v>
      </c>
      <c r="Z89">
        <v>120.4</v>
      </c>
      <c r="AA89">
        <v>114.2</v>
      </c>
      <c r="AB89">
        <v>117.9</v>
      </c>
      <c r="AC89">
        <v>122</v>
      </c>
      <c r="AD89">
        <v>113</v>
      </c>
      <c r="AE89">
        <v>117.9</v>
      </c>
      <c r="AF89">
        <v>124.1</v>
      </c>
    </row>
    <row r="90" spans="1:32" x14ac:dyDescent="0.3">
      <c r="A90" t="s">
        <v>53</v>
      </c>
      <c r="B90">
        <v>2015</v>
      </c>
      <c r="C90" t="s">
        <v>59</v>
      </c>
      <c r="D90">
        <f t="shared" si="2"/>
        <v>125.89230769230768</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119</v>
      </c>
      <c r="W90">
        <v>115.1</v>
      </c>
      <c r="X90">
        <f t="shared" si="3"/>
        <v>116.39999999999999</v>
      </c>
      <c r="Y90">
        <v>119.2</v>
      </c>
      <c r="Z90">
        <v>115.4</v>
      </c>
      <c r="AA90">
        <v>111.7</v>
      </c>
      <c r="AB90">
        <v>116.2</v>
      </c>
      <c r="AC90">
        <v>123.8</v>
      </c>
      <c r="AD90">
        <v>112.5</v>
      </c>
      <c r="AE90">
        <v>116</v>
      </c>
      <c r="AF90">
        <v>121.7</v>
      </c>
    </row>
    <row r="91" spans="1:32" x14ac:dyDescent="0.3">
      <c r="A91" t="s">
        <v>54</v>
      </c>
      <c r="B91">
        <v>2015</v>
      </c>
      <c r="C91" t="s">
        <v>59</v>
      </c>
      <c r="D91">
        <f t="shared" si="2"/>
        <v>124.88461538461539</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v>
      </c>
      <c r="W91">
        <v>119.8</v>
      </c>
      <c r="X91">
        <f t="shared" si="3"/>
        <v>117.47142857142856</v>
      </c>
      <c r="Y91">
        <v>121.1</v>
      </c>
      <c r="Z91">
        <v>118.5</v>
      </c>
      <c r="AA91">
        <v>112.9</v>
      </c>
      <c r="AB91">
        <v>116.9</v>
      </c>
      <c r="AC91">
        <v>123.1</v>
      </c>
      <c r="AD91">
        <v>112.8</v>
      </c>
      <c r="AE91">
        <v>117</v>
      </c>
      <c r="AF91">
        <v>123</v>
      </c>
    </row>
    <row r="92" spans="1:32" x14ac:dyDescent="0.3">
      <c r="A92" t="s">
        <v>50</v>
      </c>
      <c r="B92">
        <v>2015</v>
      </c>
      <c r="C92" t="s">
        <v>60</v>
      </c>
      <c r="D92">
        <f t="shared" si="2"/>
        <v>125.02307692307691</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f>AVERAGE(V90:V91)</f>
        <v>119</v>
      </c>
      <c r="W92">
        <v>123</v>
      </c>
      <c r="X92">
        <f t="shared" si="3"/>
        <v>118.51428571428572</v>
      </c>
      <c r="Y92">
        <v>123</v>
      </c>
      <c r="Z92">
        <v>120.8</v>
      </c>
      <c r="AA92">
        <v>114.1</v>
      </c>
      <c r="AB92">
        <v>118</v>
      </c>
      <c r="AC92">
        <v>122.9</v>
      </c>
      <c r="AD92">
        <v>112.7</v>
      </c>
      <c r="AE92">
        <v>118.1</v>
      </c>
      <c r="AF92">
        <v>124.7</v>
      </c>
    </row>
    <row r="93" spans="1:32" x14ac:dyDescent="0.3">
      <c r="A93" t="s">
        <v>53</v>
      </c>
      <c r="B93">
        <v>2015</v>
      </c>
      <c r="C93" t="s">
        <v>60</v>
      </c>
      <c r="D93">
        <f t="shared" si="2"/>
        <v>126.37692307692306</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119.9</v>
      </c>
      <c r="W93">
        <v>115.3</v>
      </c>
      <c r="X93">
        <f t="shared" si="3"/>
        <v>116.71428571428571</v>
      </c>
      <c r="Y93">
        <v>119.5</v>
      </c>
      <c r="Z93">
        <v>116</v>
      </c>
      <c r="AA93">
        <v>111.5</v>
      </c>
      <c r="AB93">
        <v>116.6</v>
      </c>
      <c r="AC93">
        <v>125.4</v>
      </c>
      <c r="AD93">
        <v>111.7</v>
      </c>
      <c r="AE93">
        <v>116.3</v>
      </c>
      <c r="AF93">
        <v>122.4</v>
      </c>
    </row>
    <row r="94" spans="1:32" x14ac:dyDescent="0.3">
      <c r="A94" t="s">
        <v>54</v>
      </c>
      <c r="B94">
        <v>2015</v>
      </c>
      <c r="C94" t="s">
        <v>60</v>
      </c>
      <c r="D94">
        <f t="shared" si="2"/>
        <v>125.43076923076924</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119.9</v>
      </c>
      <c r="W94">
        <v>120.1</v>
      </c>
      <c r="X94">
        <f t="shared" si="3"/>
        <v>117.72857142857143</v>
      </c>
      <c r="Y94">
        <v>121.3</v>
      </c>
      <c r="Z94">
        <v>119</v>
      </c>
      <c r="AA94">
        <v>112.7</v>
      </c>
      <c r="AB94">
        <v>117.2</v>
      </c>
      <c r="AC94">
        <v>124.4</v>
      </c>
      <c r="AD94">
        <v>112.3</v>
      </c>
      <c r="AE94">
        <v>117.2</v>
      </c>
      <c r="AF94">
        <v>123.6</v>
      </c>
    </row>
    <row r="95" spans="1:32" x14ac:dyDescent="0.3">
      <c r="A95" t="s">
        <v>50</v>
      </c>
      <c r="B95">
        <v>2015</v>
      </c>
      <c r="C95" t="s">
        <v>61</v>
      </c>
      <c r="D95">
        <f t="shared" si="2"/>
        <v>126.66153846153846</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f>AVERAGE(V93:V94)</f>
        <v>119.9</v>
      </c>
      <c r="W95">
        <v>123.8</v>
      </c>
      <c r="X95">
        <f t="shared" si="3"/>
        <v>118.74285714285715</v>
      </c>
      <c r="Y95">
        <v>123.7</v>
      </c>
      <c r="Z95">
        <v>121.1</v>
      </c>
      <c r="AA95">
        <v>113.6</v>
      </c>
      <c r="AB95">
        <v>118.5</v>
      </c>
      <c r="AC95">
        <v>123.6</v>
      </c>
      <c r="AD95">
        <v>112.5</v>
      </c>
      <c r="AE95">
        <v>118.2</v>
      </c>
      <c r="AF95">
        <v>126.1</v>
      </c>
    </row>
    <row r="96" spans="1:32" x14ac:dyDescent="0.3">
      <c r="A96" t="s">
        <v>53</v>
      </c>
      <c r="B96">
        <v>2015</v>
      </c>
      <c r="C96" t="s">
        <v>61</v>
      </c>
      <c r="D96">
        <f t="shared" si="2"/>
        <v>127.6076923076923</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120.9</v>
      </c>
      <c r="W96">
        <v>115.3</v>
      </c>
      <c r="X96">
        <f t="shared" si="3"/>
        <v>116.87142857142858</v>
      </c>
      <c r="Y96">
        <v>120</v>
      </c>
      <c r="Z96">
        <v>116.6</v>
      </c>
      <c r="AA96">
        <v>109.9</v>
      </c>
      <c r="AB96">
        <v>117.2</v>
      </c>
      <c r="AC96">
        <v>126.2</v>
      </c>
      <c r="AD96">
        <v>112</v>
      </c>
      <c r="AE96">
        <v>116.2</v>
      </c>
      <c r="AF96">
        <v>123.2</v>
      </c>
    </row>
    <row r="97" spans="1:32" x14ac:dyDescent="0.3">
      <c r="A97" t="s">
        <v>54</v>
      </c>
      <c r="B97">
        <v>2015</v>
      </c>
      <c r="C97" t="s">
        <v>61</v>
      </c>
      <c r="D97">
        <f t="shared" si="2"/>
        <v>126.89230769230768</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120.9</v>
      </c>
      <c r="W97">
        <v>120.6</v>
      </c>
      <c r="X97">
        <f t="shared" si="3"/>
        <v>117.92857142857143</v>
      </c>
      <c r="Y97">
        <v>122</v>
      </c>
      <c r="Z97">
        <v>119.4</v>
      </c>
      <c r="AA97">
        <v>111.7</v>
      </c>
      <c r="AB97">
        <v>117.8</v>
      </c>
      <c r="AC97">
        <v>125.1</v>
      </c>
      <c r="AD97">
        <v>112.3</v>
      </c>
      <c r="AE97">
        <v>117.2</v>
      </c>
      <c r="AF97">
        <v>124.8</v>
      </c>
    </row>
    <row r="98" spans="1:32" x14ac:dyDescent="0.3">
      <c r="A98" t="s">
        <v>50</v>
      </c>
      <c r="B98">
        <v>2015</v>
      </c>
      <c r="C98" t="s">
        <v>62</v>
      </c>
      <c r="D98">
        <f t="shared" si="2"/>
        <v>127.50769230769232</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f>AVERAGE(V96:V97)</f>
        <v>120.9</v>
      </c>
      <c r="W98">
        <v>123.7</v>
      </c>
      <c r="X98">
        <f t="shared" si="3"/>
        <v>119.47142857142856</v>
      </c>
      <c r="Y98">
        <v>124.5</v>
      </c>
      <c r="Z98">
        <v>121.4</v>
      </c>
      <c r="AA98">
        <v>113.8</v>
      </c>
      <c r="AB98">
        <v>119.6</v>
      </c>
      <c r="AC98">
        <v>124.5</v>
      </c>
      <c r="AD98">
        <v>113.7</v>
      </c>
      <c r="AE98">
        <v>118.8</v>
      </c>
      <c r="AF98">
        <v>127</v>
      </c>
    </row>
    <row r="99" spans="1:32" x14ac:dyDescent="0.3">
      <c r="A99" t="s">
        <v>53</v>
      </c>
      <c r="B99">
        <v>2015</v>
      </c>
      <c r="C99" t="s">
        <v>62</v>
      </c>
      <c r="D99">
        <f t="shared" si="2"/>
        <v>128.06153846153845</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121.6</v>
      </c>
      <c r="W99">
        <v>115.1</v>
      </c>
      <c r="X99">
        <f t="shared" si="3"/>
        <v>117.07142857142858</v>
      </c>
      <c r="Y99">
        <v>120.4</v>
      </c>
      <c r="Z99">
        <v>117.1</v>
      </c>
      <c r="AA99">
        <v>109.1</v>
      </c>
      <c r="AB99">
        <v>117.3</v>
      </c>
      <c r="AC99">
        <v>126.5</v>
      </c>
      <c r="AD99">
        <v>112.9</v>
      </c>
      <c r="AE99">
        <v>116.2</v>
      </c>
      <c r="AF99">
        <v>123.5</v>
      </c>
    </row>
    <row r="100" spans="1:32" x14ac:dyDescent="0.3">
      <c r="A100" t="s">
        <v>54</v>
      </c>
      <c r="B100">
        <v>2015</v>
      </c>
      <c r="C100" t="s">
        <v>62</v>
      </c>
      <c r="D100">
        <f t="shared" si="2"/>
        <v>127.56153846153848</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121.6</v>
      </c>
      <c r="W100">
        <v>120.4</v>
      </c>
      <c r="X100">
        <f t="shared" si="3"/>
        <v>118.37142857142858</v>
      </c>
      <c r="Y100">
        <v>122.6</v>
      </c>
      <c r="Z100">
        <v>119.8</v>
      </c>
      <c r="AA100">
        <v>111.3</v>
      </c>
      <c r="AB100">
        <v>118.3</v>
      </c>
      <c r="AC100">
        <v>125.7</v>
      </c>
      <c r="AD100">
        <v>113.4</v>
      </c>
      <c r="AE100">
        <v>117.5</v>
      </c>
      <c r="AF100">
        <v>125.4</v>
      </c>
    </row>
    <row r="101" spans="1:32" x14ac:dyDescent="0.3">
      <c r="A101" t="s">
        <v>50</v>
      </c>
      <c r="B101">
        <v>2015</v>
      </c>
      <c r="C101" t="s">
        <v>63</v>
      </c>
      <c r="D101">
        <f t="shared" si="2"/>
        <v>128.8153846153846</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f>AVERAGE(V99:V100)</f>
        <v>121.6</v>
      </c>
      <c r="W101">
        <v>124.4</v>
      </c>
      <c r="X101">
        <f t="shared" si="3"/>
        <v>119.92857142857144</v>
      </c>
      <c r="Y101">
        <v>125.1</v>
      </c>
      <c r="Z101">
        <v>122</v>
      </c>
      <c r="AA101">
        <v>113.8</v>
      </c>
      <c r="AB101">
        <v>120.1</v>
      </c>
      <c r="AC101">
        <v>125.1</v>
      </c>
      <c r="AD101">
        <v>114.2</v>
      </c>
      <c r="AE101">
        <v>119.2</v>
      </c>
      <c r="AF101">
        <v>127.7</v>
      </c>
    </row>
    <row r="102" spans="1:32" x14ac:dyDescent="0.3">
      <c r="A102" t="s">
        <v>53</v>
      </c>
      <c r="B102">
        <v>2015</v>
      </c>
      <c r="C102" t="s">
        <v>63</v>
      </c>
      <c r="D102">
        <f t="shared" si="2"/>
        <v>130.21538461538464</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122.4</v>
      </c>
      <c r="W102">
        <v>114.9</v>
      </c>
      <c r="X102">
        <f t="shared" si="3"/>
        <v>117.41428571428571</v>
      </c>
      <c r="Y102">
        <v>120.7</v>
      </c>
      <c r="Z102">
        <v>117.7</v>
      </c>
      <c r="AA102">
        <v>109.3</v>
      </c>
      <c r="AB102">
        <v>117.7</v>
      </c>
      <c r="AC102">
        <v>126.5</v>
      </c>
      <c r="AD102">
        <v>113.5</v>
      </c>
      <c r="AE102">
        <v>116.5</v>
      </c>
      <c r="AF102">
        <v>124.2</v>
      </c>
    </row>
    <row r="103" spans="1:32" x14ac:dyDescent="0.3">
      <c r="A103" t="s">
        <v>54</v>
      </c>
      <c r="B103">
        <v>2015</v>
      </c>
      <c r="C103" t="s">
        <v>63</v>
      </c>
      <c r="D103">
        <f t="shared" si="2"/>
        <v>129.15384615384613</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122.4</v>
      </c>
      <c r="W103">
        <v>120.8</v>
      </c>
      <c r="X103">
        <f t="shared" si="3"/>
        <v>118.74285714285713</v>
      </c>
      <c r="Y103">
        <v>123</v>
      </c>
      <c r="Z103">
        <v>120.4</v>
      </c>
      <c r="AA103">
        <v>111.4</v>
      </c>
      <c r="AB103">
        <v>118.7</v>
      </c>
      <c r="AC103">
        <v>125.9</v>
      </c>
      <c r="AD103">
        <v>113.9</v>
      </c>
      <c r="AE103">
        <v>117.9</v>
      </c>
      <c r="AF103">
        <v>126.1</v>
      </c>
    </row>
    <row r="104" spans="1:32" x14ac:dyDescent="0.3">
      <c r="A104" t="s">
        <v>50</v>
      </c>
      <c r="B104">
        <v>2015</v>
      </c>
      <c r="C104" t="s">
        <v>65</v>
      </c>
      <c r="D104">
        <f t="shared" si="2"/>
        <v>129.71538461538461</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f>AVERAGE(V102:V103)</f>
        <v>122.4</v>
      </c>
      <c r="W104">
        <v>125.6</v>
      </c>
      <c r="X104">
        <f t="shared" si="3"/>
        <v>120.38571428571429</v>
      </c>
      <c r="Y104">
        <v>125.6</v>
      </c>
      <c r="Z104">
        <v>122.6</v>
      </c>
      <c r="AA104">
        <v>114</v>
      </c>
      <c r="AB104">
        <v>120.9</v>
      </c>
      <c r="AC104">
        <v>125.8</v>
      </c>
      <c r="AD104">
        <v>114.2</v>
      </c>
      <c r="AE104">
        <v>119.6</v>
      </c>
      <c r="AF104">
        <v>128.30000000000001</v>
      </c>
    </row>
    <row r="105" spans="1:32" x14ac:dyDescent="0.3">
      <c r="A105" t="s">
        <v>53</v>
      </c>
      <c r="B105">
        <v>2015</v>
      </c>
      <c r="C105" t="s">
        <v>65</v>
      </c>
      <c r="D105">
        <f t="shared" si="2"/>
        <v>131.42307692307691</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122.9</v>
      </c>
      <c r="W105">
        <v>115.1</v>
      </c>
      <c r="X105">
        <f t="shared" si="3"/>
        <v>117.54285714285713</v>
      </c>
      <c r="Y105">
        <v>121</v>
      </c>
      <c r="Z105">
        <v>118.1</v>
      </c>
      <c r="AA105">
        <v>109.3</v>
      </c>
      <c r="AB105">
        <v>117.9</v>
      </c>
      <c r="AC105">
        <v>126.6</v>
      </c>
      <c r="AD105">
        <v>113.3</v>
      </c>
      <c r="AE105">
        <v>116.6</v>
      </c>
      <c r="AF105">
        <v>124.6</v>
      </c>
    </row>
    <row r="106" spans="1:32" x14ac:dyDescent="0.3">
      <c r="A106" t="s">
        <v>54</v>
      </c>
      <c r="B106">
        <v>2015</v>
      </c>
      <c r="C106" t="s">
        <v>65</v>
      </c>
      <c r="D106">
        <f t="shared" si="2"/>
        <v>130.16153846153844</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122.9</v>
      </c>
      <c r="W106">
        <v>121.6</v>
      </c>
      <c r="X106">
        <f t="shared" si="3"/>
        <v>119.02857142857142</v>
      </c>
      <c r="Y106">
        <v>123.4</v>
      </c>
      <c r="Z106">
        <v>120.9</v>
      </c>
      <c r="AA106">
        <v>111.5</v>
      </c>
      <c r="AB106">
        <v>119.2</v>
      </c>
      <c r="AC106">
        <v>126.3</v>
      </c>
      <c r="AD106">
        <v>113.8</v>
      </c>
      <c r="AE106">
        <v>118.1</v>
      </c>
      <c r="AF106">
        <v>126.6</v>
      </c>
    </row>
    <row r="107" spans="1:32" x14ac:dyDescent="0.3">
      <c r="A107" t="s">
        <v>50</v>
      </c>
      <c r="B107">
        <v>2015</v>
      </c>
      <c r="C107" t="s">
        <v>66</v>
      </c>
      <c r="D107">
        <f t="shared" si="2"/>
        <v>129.40769230769232</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f>AVERAGE(V105:V106)</f>
        <v>122.9</v>
      </c>
      <c r="W107">
        <v>125.7</v>
      </c>
      <c r="X107">
        <f t="shared" si="3"/>
        <v>120.60000000000001</v>
      </c>
      <c r="Y107">
        <v>126</v>
      </c>
      <c r="Z107">
        <v>123.1</v>
      </c>
      <c r="AA107">
        <v>114</v>
      </c>
      <c r="AB107">
        <v>121.6</v>
      </c>
      <c r="AC107">
        <v>125.6</v>
      </c>
      <c r="AD107">
        <v>114.1</v>
      </c>
      <c r="AE107">
        <v>119.8</v>
      </c>
      <c r="AF107">
        <v>127.9</v>
      </c>
    </row>
    <row r="108" spans="1:32" x14ac:dyDescent="0.3">
      <c r="A108" t="s">
        <v>53</v>
      </c>
      <c r="B108">
        <v>2015</v>
      </c>
      <c r="C108" t="s">
        <v>66</v>
      </c>
      <c r="D108">
        <f t="shared" si="2"/>
        <v>130.67692307692306</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122.4</v>
      </c>
      <c r="W108">
        <v>116</v>
      </c>
      <c r="X108">
        <f t="shared" si="3"/>
        <v>117.64285714285715</v>
      </c>
      <c r="Y108">
        <v>121</v>
      </c>
      <c r="Z108">
        <v>118.6</v>
      </c>
      <c r="AA108">
        <v>109.3</v>
      </c>
      <c r="AB108">
        <v>118.1</v>
      </c>
      <c r="AC108">
        <v>126.6</v>
      </c>
      <c r="AD108">
        <v>113.2</v>
      </c>
      <c r="AE108">
        <v>116.7</v>
      </c>
      <c r="AF108">
        <v>124</v>
      </c>
    </row>
    <row r="109" spans="1:32" x14ac:dyDescent="0.3">
      <c r="A109" t="s">
        <v>54</v>
      </c>
      <c r="B109">
        <v>2015</v>
      </c>
      <c r="C109" t="s">
        <v>66</v>
      </c>
      <c r="D109">
        <f t="shared" si="2"/>
        <v>129.70000000000002</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122.4</v>
      </c>
      <c r="W109">
        <v>122</v>
      </c>
      <c r="X109">
        <f t="shared" si="3"/>
        <v>119.1857142857143</v>
      </c>
      <c r="Y109">
        <v>123.6</v>
      </c>
      <c r="Z109">
        <v>121.4</v>
      </c>
      <c r="AA109">
        <v>111.5</v>
      </c>
      <c r="AB109">
        <v>119.6</v>
      </c>
      <c r="AC109">
        <v>126.2</v>
      </c>
      <c r="AD109">
        <v>113.7</v>
      </c>
      <c r="AE109">
        <v>118.3</v>
      </c>
      <c r="AF109">
        <v>126.1</v>
      </c>
    </row>
    <row r="110" spans="1:32" x14ac:dyDescent="0.3">
      <c r="A110" t="s">
        <v>50</v>
      </c>
      <c r="B110">
        <v>2016</v>
      </c>
      <c r="C110" t="s">
        <v>51</v>
      </c>
      <c r="D110">
        <f t="shared" si="2"/>
        <v>130.00769230769231</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f>AVERAGE(V108:V109)</f>
        <v>122.4</v>
      </c>
      <c r="W110">
        <v>126.2</v>
      </c>
      <c r="X110">
        <f t="shared" si="3"/>
        <v>120.92857142857143</v>
      </c>
      <c r="Y110">
        <v>126.6</v>
      </c>
      <c r="Z110">
        <v>123.7</v>
      </c>
      <c r="AA110">
        <v>113.6</v>
      </c>
      <c r="AB110">
        <v>121.4</v>
      </c>
      <c r="AC110">
        <v>126.2</v>
      </c>
      <c r="AD110">
        <v>114.9</v>
      </c>
      <c r="AE110">
        <v>120.1</v>
      </c>
      <c r="AF110">
        <v>128.1</v>
      </c>
    </row>
    <row r="111" spans="1:32" x14ac:dyDescent="0.3">
      <c r="A111" t="s">
        <v>53</v>
      </c>
      <c r="B111">
        <v>2016</v>
      </c>
      <c r="C111" t="s">
        <v>51</v>
      </c>
      <c r="D111">
        <f t="shared" si="2"/>
        <v>130.87692307692308</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123.4</v>
      </c>
      <c r="W111">
        <v>116.9</v>
      </c>
      <c r="X111">
        <f t="shared" si="3"/>
        <v>117.89999999999999</v>
      </c>
      <c r="Y111">
        <v>121.6</v>
      </c>
      <c r="Z111">
        <v>119.1</v>
      </c>
      <c r="AA111">
        <v>108.9</v>
      </c>
      <c r="AB111">
        <v>118.5</v>
      </c>
      <c r="AC111">
        <v>126.4</v>
      </c>
      <c r="AD111">
        <v>114</v>
      </c>
      <c r="AE111">
        <v>116.8</v>
      </c>
      <c r="AF111">
        <v>124.2</v>
      </c>
    </row>
    <row r="112" spans="1:32" x14ac:dyDescent="0.3">
      <c r="A112" t="s">
        <v>54</v>
      </c>
      <c r="B112">
        <v>2016</v>
      </c>
      <c r="C112" t="s">
        <v>51</v>
      </c>
      <c r="D112">
        <f t="shared" si="2"/>
        <v>130.13076923076923</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123.4</v>
      </c>
      <c r="W112">
        <v>122.7</v>
      </c>
      <c r="X112">
        <f t="shared" si="3"/>
        <v>119.48571428571428</v>
      </c>
      <c r="Y112">
        <v>124.2</v>
      </c>
      <c r="Z112">
        <v>122</v>
      </c>
      <c r="AA112">
        <v>111.1</v>
      </c>
      <c r="AB112">
        <v>119.8</v>
      </c>
      <c r="AC112">
        <v>126.3</v>
      </c>
      <c r="AD112">
        <v>114.5</v>
      </c>
      <c r="AE112">
        <v>118.5</v>
      </c>
      <c r="AF112">
        <v>126.3</v>
      </c>
    </row>
    <row r="113" spans="1:32" x14ac:dyDescent="0.3">
      <c r="A113" t="s">
        <v>50</v>
      </c>
      <c r="B113">
        <v>2016</v>
      </c>
      <c r="C113" t="s">
        <v>55</v>
      </c>
      <c r="D113">
        <f t="shared" si="2"/>
        <v>129.43076923076922</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f>AVERAGE(V111:V112)</f>
        <v>123.4</v>
      </c>
      <c r="W113">
        <v>127.5</v>
      </c>
      <c r="X113">
        <f t="shared" si="3"/>
        <v>121.77142857142856</v>
      </c>
      <c r="Y113">
        <v>127.1</v>
      </c>
      <c r="Z113">
        <v>124.3</v>
      </c>
      <c r="AA113">
        <v>113.9</v>
      </c>
      <c r="AB113">
        <v>122.3</v>
      </c>
      <c r="AC113">
        <v>127.1</v>
      </c>
      <c r="AD113">
        <v>116.8</v>
      </c>
      <c r="AE113">
        <v>120.9</v>
      </c>
      <c r="AF113">
        <v>127.9</v>
      </c>
    </row>
    <row r="114" spans="1:32" x14ac:dyDescent="0.3">
      <c r="A114" t="s">
        <v>53</v>
      </c>
      <c r="B114">
        <v>2016</v>
      </c>
      <c r="C114" t="s">
        <v>55</v>
      </c>
      <c r="D114">
        <f t="shared" si="2"/>
        <v>128.93076923076922</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124.4</v>
      </c>
      <c r="W114">
        <v>116</v>
      </c>
      <c r="X114">
        <f t="shared" si="3"/>
        <v>118.41428571428573</v>
      </c>
      <c r="Y114">
        <v>121.8</v>
      </c>
      <c r="Z114">
        <v>119.5</v>
      </c>
      <c r="AA114">
        <v>109.1</v>
      </c>
      <c r="AB114">
        <v>118.8</v>
      </c>
      <c r="AC114">
        <v>126.3</v>
      </c>
      <c r="AD114">
        <v>116.2</v>
      </c>
      <c r="AE114">
        <v>117.2</v>
      </c>
      <c r="AF114">
        <v>123.8</v>
      </c>
    </row>
    <row r="115" spans="1:32" x14ac:dyDescent="0.3">
      <c r="A115" t="s">
        <v>54</v>
      </c>
      <c r="B115">
        <v>2016</v>
      </c>
      <c r="C115" t="s">
        <v>55</v>
      </c>
      <c r="D115">
        <f t="shared" si="2"/>
        <v>129.08461538461538</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124.4</v>
      </c>
      <c r="W115">
        <v>123.1</v>
      </c>
      <c r="X115">
        <f t="shared" si="3"/>
        <v>120.15714285714286</v>
      </c>
      <c r="Y115">
        <v>124.6</v>
      </c>
      <c r="Z115">
        <v>122.5</v>
      </c>
      <c r="AA115">
        <v>111.4</v>
      </c>
      <c r="AB115">
        <v>120.3</v>
      </c>
      <c r="AC115">
        <v>126.6</v>
      </c>
      <c r="AD115">
        <v>116.6</v>
      </c>
      <c r="AE115">
        <v>119.1</v>
      </c>
      <c r="AF115">
        <v>126</v>
      </c>
    </row>
    <row r="116" spans="1:32" x14ac:dyDescent="0.3">
      <c r="A116" t="s">
        <v>50</v>
      </c>
      <c r="B116">
        <v>2016</v>
      </c>
      <c r="C116" t="s">
        <v>56</v>
      </c>
      <c r="D116">
        <f t="shared" si="2"/>
        <v>129.43846153846155</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f>AVERAGE(V114:V115)</f>
        <v>124.4</v>
      </c>
      <c r="W116">
        <v>127</v>
      </c>
      <c r="X116">
        <f t="shared" si="3"/>
        <v>122.08571428571429</v>
      </c>
      <c r="Y116">
        <v>127.7</v>
      </c>
      <c r="Z116">
        <v>124.8</v>
      </c>
      <c r="AA116">
        <v>113.6</v>
      </c>
      <c r="AB116">
        <v>122.5</v>
      </c>
      <c r="AC116">
        <v>127.5</v>
      </c>
      <c r="AD116">
        <v>117.4</v>
      </c>
      <c r="AE116">
        <v>121.1</v>
      </c>
      <c r="AF116">
        <v>128</v>
      </c>
    </row>
    <row r="117" spans="1:32" x14ac:dyDescent="0.3">
      <c r="A117" t="s">
        <v>53</v>
      </c>
      <c r="B117">
        <v>2016</v>
      </c>
      <c r="C117" t="s">
        <v>56</v>
      </c>
      <c r="D117">
        <f t="shared" si="2"/>
        <v>128.27692307692308</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124.9</v>
      </c>
      <c r="W117">
        <v>114.8</v>
      </c>
      <c r="X117">
        <f t="shared" si="3"/>
        <v>118.62857142857142</v>
      </c>
      <c r="Y117">
        <v>122.3</v>
      </c>
      <c r="Z117">
        <v>119.7</v>
      </c>
      <c r="AA117">
        <v>108.5</v>
      </c>
      <c r="AB117">
        <v>119.1</v>
      </c>
      <c r="AC117">
        <v>126.4</v>
      </c>
      <c r="AD117">
        <v>117.1</v>
      </c>
      <c r="AE117">
        <v>117.3</v>
      </c>
      <c r="AF117">
        <v>123.8</v>
      </c>
    </row>
    <row r="118" spans="1:32" x14ac:dyDescent="0.3">
      <c r="A118" t="s">
        <v>54</v>
      </c>
      <c r="B118">
        <v>2016</v>
      </c>
      <c r="C118" t="s">
        <v>56</v>
      </c>
      <c r="D118">
        <f t="shared" si="2"/>
        <v>128.86153846153846</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124.9</v>
      </c>
      <c r="W118">
        <v>122.4</v>
      </c>
      <c r="X118">
        <f t="shared" si="3"/>
        <v>120.42857142857142</v>
      </c>
      <c r="Y118">
        <v>125.1</v>
      </c>
      <c r="Z118">
        <v>122.9</v>
      </c>
      <c r="AA118">
        <v>110.9</v>
      </c>
      <c r="AB118">
        <v>120.6</v>
      </c>
      <c r="AC118">
        <v>126.9</v>
      </c>
      <c r="AD118">
        <v>117.3</v>
      </c>
      <c r="AE118">
        <v>119.3</v>
      </c>
      <c r="AF118">
        <v>126</v>
      </c>
    </row>
    <row r="119" spans="1:32" x14ac:dyDescent="0.3">
      <c r="A119" t="s">
        <v>50</v>
      </c>
      <c r="B119">
        <v>2016</v>
      </c>
      <c r="C119" t="s">
        <v>57</v>
      </c>
      <c r="D119">
        <f t="shared" si="2"/>
        <v>130.89230769230772</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f>AVERAGE(V117:V118)</f>
        <v>124.9</v>
      </c>
      <c r="W119">
        <v>127</v>
      </c>
      <c r="X119">
        <f t="shared" si="3"/>
        <v>122.6857142857143</v>
      </c>
      <c r="Y119">
        <v>128</v>
      </c>
      <c r="Z119">
        <v>125.2</v>
      </c>
      <c r="AA119">
        <v>114.4</v>
      </c>
      <c r="AB119">
        <v>123.2</v>
      </c>
      <c r="AC119">
        <v>127.9</v>
      </c>
      <c r="AD119">
        <v>118.4</v>
      </c>
      <c r="AE119">
        <v>121.7</v>
      </c>
      <c r="AF119">
        <v>129</v>
      </c>
    </row>
    <row r="120" spans="1:32" x14ac:dyDescent="0.3">
      <c r="A120" t="s">
        <v>53</v>
      </c>
      <c r="B120">
        <v>2016</v>
      </c>
      <c r="C120" t="s">
        <v>57</v>
      </c>
      <c r="D120">
        <f t="shared" si="2"/>
        <v>131.25384615384615</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125.6</v>
      </c>
      <c r="W120">
        <v>114.6</v>
      </c>
      <c r="X120">
        <f t="shared" si="3"/>
        <v>119.38571428571429</v>
      </c>
      <c r="Y120">
        <v>122.8</v>
      </c>
      <c r="Z120">
        <v>120</v>
      </c>
      <c r="AA120">
        <v>110</v>
      </c>
      <c r="AB120">
        <v>119.5</v>
      </c>
      <c r="AC120">
        <v>127.6</v>
      </c>
      <c r="AD120">
        <v>117.6</v>
      </c>
      <c r="AE120">
        <v>118.2</v>
      </c>
      <c r="AF120">
        <v>125.3</v>
      </c>
    </row>
    <row r="121" spans="1:32" x14ac:dyDescent="0.3">
      <c r="A121" t="s">
        <v>54</v>
      </c>
      <c r="B121">
        <v>2016</v>
      </c>
      <c r="C121" t="s">
        <v>57</v>
      </c>
      <c r="D121">
        <f t="shared" si="2"/>
        <v>130.86923076923077</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125.6</v>
      </c>
      <c r="W121">
        <v>122.3</v>
      </c>
      <c r="X121">
        <f t="shared" si="3"/>
        <v>121.10000000000001</v>
      </c>
      <c r="Y121">
        <v>125.5</v>
      </c>
      <c r="Z121">
        <v>123.2</v>
      </c>
      <c r="AA121">
        <v>112.1</v>
      </c>
      <c r="AB121">
        <v>121.1</v>
      </c>
      <c r="AC121">
        <v>127.7</v>
      </c>
      <c r="AD121">
        <v>118.1</v>
      </c>
      <c r="AE121">
        <v>120</v>
      </c>
      <c r="AF121">
        <v>127.3</v>
      </c>
    </row>
    <row r="122" spans="1:32" x14ac:dyDescent="0.3">
      <c r="A122" t="s">
        <v>50</v>
      </c>
      <c r="B122">
        <v>2016</v>
      </c>
      <c r="C122" t="s">
        <v>58</v>
      </c>
      <c r="D122">
        <f t="shared" si="2"/>
        <v>132.59230769230768</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f>AVERAGE(V120:V121)</f>
        <v>125.6</v>
      </c>
      <c r="W122">
        <v>127.4</v>
      </c>
      <c r="X122">
        <f t="shared" si="3"/>
        <v>123.47142857142858</v>
      </c>
      <c r="Y122">
        <v>128.5</v>
      </c>
      <c r="Z122">
        <v>125.8</v>
      </c>
      <c r="AA122">
        <v>115.1</v>
      </c>
      <c r="AB122">
        <v>123.6</v>
      </c>
      <c r="AC122">
        <v>129.1</v>
      </c>
      <c r="AD122">
        <v>119.7</v>
      </c>
      <c r="AE122">
        <v>122.5</v>
      </c>
      <c r="AF122">
        <v>130.30000000000001</v>
      </c>
    </row>
    <row r="123" spans="1:32" x14ac:dyDescent="0.3">
      <c r="A123" t="s">
        <v>53</v>
      </c>
      <c r="B123">
        <v>2016</v>
      </c>
      <c r="C123" t="s">
        <v>58</v>
      </c>
      <c r="D123">
        <f t="shared" si="2"/>
        <v>134.36923076923074</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126</v>
      </c>
      <c r="W123">
        <v>115</v>
      </c>
      <c r="X123">
        <f t="shared" si="3"/>
        <v>119.88571428571429</v>
      </c>
      <c r="Y123">
        <v>123.2</v>
      </c>
      <c r="Z123">
        <v>120.3</v>
      </c>
      <c r="AA123">
        <v>110.7</v>
      </c>
      <c r="AB123">
        <v>119.8</v>
      </c>
      <c r="AC123">
        <v>128</v>
      </c>
      <c r="AD123">
        <v>118.5</v>
      </c>
      <c r="AE123">
        <v>118.7</v>
      </c>
      <c r="AF123">
        <v>126.6</v>
      </c>
    </row>
    <row r="124" spans="1:32" x14ac:dyDescent="0.3">
      <c r="A124" t="s">
        <v>54</v>
      </c>
      <c r="B124">
        <v>2016</v>
      </c>
      <c r="C124" t="s">
        <v>58</v>
      </c>
      <c r="D124">
        <f t="shared" si="2"/>
        <v>133.1076923076923</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126</v>
      </c>
      <c r="W124">
        <v>122.7</v>
      </c>
      <c r="X124">
        <f t="shared" si="3"/>
        <v>121.77142857142859</v>
      </c>
      <c r="Y124">
        <v>126</v>
      </c>
      <c r="Z124">
        <v>123.7</v>
      </c>
      <c r="AA124">
        <v>112.8</v>
      </c>
      <c r="AB124">
        <v>121.5</v>
      </c>
      <c r="AC124">
        <v>128.5</v>
      </c>
      <c r="AD124">
        <v>119.2</v>
      </c>
      <c r="AE124">
        <v>120.7</v>
      </c>
      <c r="AF124">
        <v>128.6</v>
      </c>
    </row>
    <row r="125" spans="1:32" x14ac:dyDescent="0.3">
      <c r="A125" t="s">
        <v>50</v>
      </c>
      <c r="B125">
        <v>2016</v>
      </c>
      <c r="C125" t="s">
        <v>59</v>
      </c>
      <c r="D125">
        <f t="shared" si="2"/>
        <v>134.50769230769231</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f>AVERAGE(V123:V124)</f>
        <v>126</v>
      </c>
      <c r="W125">
        <v>128</v>
      </c>
      <c r="X125">
        <f t="shared" si="3"/>
        <v>124.18571428571427</v>
      </c>
      <c r="Y125">
        <v>129.30000000000001</v>
      </c>
      <c r="Z125">
        <v>126.2</v>
      </c>
      <c r="AA125">
        <v>116.3</v>
      </c>
      <c r="AB125">
        <v>124.1</v>
      </c>
      <c r="AC125">
        <v>130.19999999999999</v>
      </c>
      <c r="AD125">
        <v>119.9</v>
      </c>
      <c r="AE125">
        <v>123.3</v>
      </c>
      <c r="AF125">
        <v>131.9</v>
      </c>
    </row>
    <row r="126" spans="1:32" x14ac:dyDescent="0.3">
      <c r="A126" t="s">
        <v>53</v>
      </c>
      <c r="B126">
        <v>2016</v>
      </c>
      <c r="C126" t="s">
        <v>59</v>
      </c>
      <c r="D126">
        <f t="shared" si="2"/>
        <v>137.46153846153848</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125.5</v>
      </c>
      <c r="W126">
        <v>115.5</v>
      </c>
      <c r="X126">
        <f t="shared" si="3"/>
        <v>120.52857142857142</v>
      </c>
      <c r="Y126">
        <v>123.2</v>
      </c>
      <c r="Z126">
        <v>120.6</v>
      </c>
      <c r="AA126">
        <v>112.3</v>
      </c>
      <c r="AB126">
        <v>119.9</v>
      </c>
      <c r="AC126">
        <v>129.30000000000001</v>
      </c>
      <c r="AD126">
        <v>118.8</v>
      </c>
      <c r="AE126">
        <v>119.6</v>
      </c>
      <c r="AF126">
        <v>128.1</v>
      </c>
    </row>
    <row r="127" spans="1:32" x14ac:dyDescent="0.3">
      <c r="A127" t="s">
        <v>54</v>
      </c>
      <c r="B127">
        <v>2016</v>
      </c>
      <c r="C127" t="s">
        <v>59</v>
      </c>
      <c r="D127">
        <f t="shared" si="2"/>
        <v>135.43076923076922</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125.5</v>
      </c>
      <c r="W127">
        <v>123.3</v>
      </c>
      <c r="X127">
        <f t="shared" si="3"/>
        <v>122.42857142857142</v>
      </c>
      <c r="Y127">
        <v>126.4</v>
      </c>
      <c r="Z127">
        <v>124.1</v>
      </c>
      <c r="AA127">
        <v>114.2</v>
      </c>
      <c r="AB127">
        <v>121.7</v>
      </c>
      <c r="AC127">
        <v>129.69999999999999</v>
      </c>
      <c r="AD127">
        <v>119.4</v>
      </c>
      <c r="AE127">
        <v>121.5</v>
      </c>
      <c r="AF127">
        <v>130.1</v>
      </c>
    </row>
    <row r="128" spans="1:32" x14ac:dyDescent="0.3">
      <c r="A128" t="s">
        <v>50</v>
      </c>
      <c r="B128">
        <v>2016</v>
      </c>
      <c r="C128" t="s">
        <v>60</v>
      </c>
      <c r="D128">
        <f t="shared" si="2"/>
        <v>136.17692307692306</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f>AVERAGE(V126:V127)</f>
        <v>125.5</v>
      </c>
      <c r="W128">
        <v>128.19999999999999</v>
      </c>
      <c r="X128">
        <f t="shared" si="3"/>
        <v>124.82857142857142</v>
      </c>
      <c r="Y128">
        <v>130</v>
      </c>
      <c r="Z128">
        <v>126.7</v>
      </c>
      <c r="AA128">
        <v>116.4</v>
      </c>
      <c r="AB128">
        <v>125.2</v>
      </c>
      <c r="AC128">
        <v>130.80000000000001</v>
      </c>
      <c r="AD128">
        <v>120.9</v>
      </c>
      <c r="AE128">
        <v>123.8</v>
      </c>
      <c r="AF128">
        <v>133</v>
      </c>
    </row>
    <row r="129" spans="1:32" x14ac:dyDescent="0.3">
      <c r="A129" t="s">
        <v>53</v>
      </c>
      <c r="B129">
        <v>2016</v>
      </c>
      <c r="C129" t="s">
        <v>60</v>
      </c>
      <c r="D129">
        <f t="shared" si="2"/>
        <v>139.34615384615387</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126.4</v>
      </c>
      <c r="W129">
        <v>115.5</v>
      </c>
      <c r="X129">
        <f t="shared" si="3"/>
        <v>121.01428571428572</v>
      </c>
      <c r="Y129">
        <v>123.5</v>
      </c>
      <c r="Z129">
        <v>120.9</v>
      </c>
      <c r="AA129">
        <v>111.7</v>
      </c>
      <c r="AB129">
        <v>120.3</v>
      </c>
      <c r="AC129">
        <v>130.80000000000001</v>
      </c>
      <c r="AD129">
        <v>120</v>
      </c>
      <c r="AE129">
        <v>119.9</v>
      </c>
      <c r="AF129">
        <v>129</v>
      </c>
    </row>
    <row r="130" spans="1:32" x14ac:dyDescent="0.3">
      <c r="A130" t="s">
        <v>54</v>
      </c>
      <c r="B130">
        <v>2016</v>
      </c>
      <c r="C130" t="s">
        <v>60</v>
      </c>
      <c r="D130">
        <f t="shared" si="2"/>
        <v>137.19230769230768</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126.4</v>
      </c>
      <c r="W130">
        <v>123.4</v>
      </c>
      <c r="X130">
        <f t="shared" si="3"/>
        <v>122.98571428571428</v>
      </c>
      <c r="Y130">
        <v>126.9</v>
      </c>
      <c r="Z130">
        <v>124.5</v>
      </c>
      <c r="AA130">
        <v>113.9</v>
      </c>
      <c r="AB130">
        <v>122.4</v>
      </c>
      <c r="AC130">
        <v>130.80000000000001</v>
      </c>
      <c r="AD130">
        <v>120.5</v>
      </c>
      <c r="AE130">
        <v>121.9</v>
      </c>
      <c r="AF130">
        <v>131.1</v>
      </c>
    </row>
    <row r="131" spans="1:32" x14ac:dyDescent="0.3">
      <c r="A131" t="s">
        <v>50</v>
      </c>
      <c r="B131">
        <v>2016</v>
      </c>
      <c r="C131" t="s">
        <v>61</v>
      </c>
      <c r="D131">
        <f t="shared" ref="D131:D194" si="4">AVERAGE(E131:Q131)</f>
        <v>136.73076923076923</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f>AVERAGE(V129:V130)</f>
        <v>126.4</v>
      </c>
      <c r="W131">
        <v>129.1</v>
      </c>
      <c r="X131">
        <f t="shared" ref="X131:X194" si="5">AVERAGE(Y131:AE131)</f>
        <v>125.31428571428572</v>
      </c>
      <c r="Y131">
        <v>130.6</v>
      </c>
      <c r="Z131">
        <v>127</v>
      </c>
      <c r="AA131">
        <v>116</v>
      </c>
      <c r="AB131">
        <v>125.5</v>
      </c>
      <c r="AC131">
        <v>131.9</v>
      </c>
      <c r="AD131">
        <v>122</v>
      </c>
      <c r="AE131">
        <v>124.2</v>
      </c>
      <c r="AF131">
        <v>133.5</v>
      </c>
    </row>
    <row r="132" spans="1:32" x14ac:dyDescent="0.3">
      <c r="A132" t="s">
        <v>53</v>
      </c>
      <c r="B132">
        <v>2016</v>
      </c>
      <c r="C132" t="s">
        <v>61</v>
      </c>
      <c r="D132">
        <f t="shared" si="4"/>
        <v>137.2307692307692</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127.3</v>
      </c>
      <c r="W132">
        <v>114.7</v>
      </c>
      <c r="X132">
        <f t="shared" si="5"/>
        <v>121.2</v>
      </c>
      <c r="Y132">
        <v>123.9</v>
      </c>
      <c r="Z132">
        <v>121.2</v>
      </c>
      <c r="AA132">
        <v>110.4</v>
      </c>
      <c r="AB132">
        <v>120.6</v>
      </c>
      <c r="AC132">
        <v>131.5</v>
      </c>
      <c r="AD132">
        <v>120.9</v>
      </c>
      <c r="AE132">
        <v>119.9</v>
      </c>
      <c r="AF132">
        <v>128.4</v>
      </c>
    </row>
    <row r="133" spans="1:32" x14ac:dyDescent="0.3">
      <c r="A133" t="s">
        <v>54</v>
      </c>
      <c r="B133">
        <v>2016</v>
      </c>
      <c r="C133" t="s">
        <v>61</v>
      </c>
      <c r="D133">
        <f t="shared" si="4"/>
        <v>136.76153846153846</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127.3</v>
      </c>
      <c r="W133">
        <v>123.6</v>
      </c>
      <c r="X133">
        <f t="shared" si="5"/>
        <v>123.32857142857142</v>
      </c>
      <c r="Y133">
        <v>127.4</v>
      </c>
      <c r="Z133">
        <v>124.8</v>
      </c>
      <c r="AA133">
        <v>113.1</v>
      </c>
      <c r="AB133">
        <v>122.7</v>
      </c>
      <c r="AC133">
        <v>131.69999999999999</v>
      </c>
      <c r="AD133">
        <v>121.5</v>
      </c>
      <c r="AE133">
        <v>122.1</v>
      </c>
      <c r="AF133">
        <v>131.1</v>
      </c>
    </row>
    <row r="134" spans="1:32" x14ac:dyDescent="0.3">
      <c r="A134" t="s">
        <v>50</v>
      </c>
      <c r="B134">
        <v>2016</v>
      </c>
      <c r="C134" t="s">
        <v>62</v>
      </c>
      <c r="D134">
        <f t="shared" si="4"/>
        <v>136.2076923076923</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f>AVERAGE(V132:V133)</f>
        <v>127.3</v>
      </c>
      <c r="W134">
        <v>129.69999999999999</v>
      </c>
      <c r="X134">
        <f t="shared" si="5"/>
        <v>125.92857142857142</v>
      </c>
      <c r="Y134">
        <v>131.1</v>
      </c>
      <c r="Z134">
        <v>127.8</v>
      </c>
      <c r="AA134">
        <v>117</v>
      </c>
      <c r="AB134">
        <v>125.7</v>
      </c>
      <c r="AC134">
        <v>132.19999999999999</v>
      </c>
      <c r="AD134">
        <v>122.8</v>
      </c>
      <c r="AE134">
        <v>124.9</v>
      </c>
      <c r="AF134">
        <v>133.4</v>
      </c>
    </row>
    <row r="135" spans="1:32" x14ac:dyDescent="0.3">
      <c r="A135" t="s">
        <v>53</v>
      </c>
      <c r="B135">
        <v>2016</v>
      </c>
      <c r="C135" t="s">
        <v>62</v>
      </c>
      <c r="D135">
        <f t="shared" si="4"/>
        <v>135.10769230769228</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127.9</v>
      </c>
      <c r="W135">
        <v>114.8</v>
      </c>
      <c r="X135">
        <f t="shared" si="5"/>
        <v>121.65714285714286</v>
      </c>
      <c r="Y135">
        <v>124.3</v>
      </c>
      <c r="Z135">
        <v>121.4</v>
      </c>
      <c r="AA135">
        <v>111.8</v>
      </c>
      <c r="AB135">
        <v>120.8</v>
      </c>
      <c r="AC135">
        <v>131.6</v>
      </c>
      <c r="AD135">
        <v>121.2</v>
      </c>
      <c r="AE135">
        <v>120.5</v>
      </c>
      <c r="AF135">
        <v>128</v>
      </c>
    </row>
    <row r="136" spans="1:32" x14ac:dyDescent="0.3">
      <c r="A136" t="s">
        <v>54</v>
      </c>
      <c r="B136">
        <v>2016</v>
      </c>
      <c r="C136" t="s">
        <v>62</v>
      </c>
      <c r="D136">
        <f t="shared" si="4"/>
        <v>135.66923076923075</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127.9</v>
      </c>
      <c r="W136">
        <v>124.1</v>
      </c>
      <c r="X136">
        <f t="shared" si="5"/>
        <v>123.88571428571427</v>
      </c>
      <c r="Y136">
        <v>127.9</v>
      </c>
      <c r="Z136">
        <v>125.4</v>
      </c>
      <c r="AA136">
        <v>114.3</v>
      </c>
      <c r="AB136">
        <v>122.9</v>
      </c>
      <c r="AC136">
        <v>131.80000000000001</v>
      </c>
      <c r="AD136">
        <v>122.1</v>
      </c>
      <c r="AE136">
        <v>122.8</v>
      </c>
      <c r="AF136">
        <v>130.9</v>
      </c>
    </row>
    <row r="137" spans="1:32" x14ac:dyDescent="0.3">
      <c r="A137" t="s">
        <v>50</v>
      </c>
      <c r="B137">
        <v>2016</v>
      </c>
      <c r="C137" t="s">
        <v>63</v>
      </c>
      <c r="D137">
        <f t="shared" si="4"/>
        <v>136.2923076923077</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f>AVERAGE(V135:V136)</f>
        <v>127.9</v>
      </c>
      <c r="W137">
        <v>129.80000000000001</v>
      </c>
      <c r="X137">
        <f t="shared" si="5"/>
        <v>126.64285714285714</v>
      </c>
      <c r="Y137">
        <v>131.80000000000001</v>
      </c>
      <c r="Z137">
        <v>128.69999999999999</v>
      </c>
      <c r="AA137">
        <v>117.8</v>
      </c>
      <c r="AB137">
        <v>126.5</v>
      </c>
      <c r="AC137">
        <v>133</v>
      </c>
      <c r="AD137">
        <v>123</v>
      </c>
      <c r="AE137">
        <v>125.7</v>
      </c>
      <c r="AF137">
        <v>133.80000000000001</v>
      </c>
    </row>
    <row r="138" spans="1:32" x14ac:dyDescent="0.3">
      <c r="A138" t="s">
        <v>53</v>
      </c>
      <c r="B138">
        <v>2016</v>
      </c>
      <c r="C138" t="s">
        <v>63</v>
      </c>
      <c r="D138">
        <f t="shared" si="4"/>
        <v>135.6076923076923</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128.69999999999999</v>
      </c>
      <c r="W138">
        <v>115.2</v>
      </c>
      <c r="X138">
        <f t="shared" si="5"/>
        <v>121.98571428571428</v>
      </c>
      <c r="Y138">
        <v>124.5</v>
      </c>
      <c r="Z138">
        <v>121.8</v>
      </c>
      <c r="AA138">
        <v>112.8</v>
      </c>
      <c r="AB138">
        <v>121.2</v>
      </c>
      <c r="AC138">
        <v>131.9</v>
      </c>
      <c r="AD138">
        <v>120.8</v>
      </c>
      <c r="AE138">
        <v>120.9</v>
      </c>
      <c r="AF138">
        <v>128.6</v>
      </c>
    </row>
    <row r="139" spans="1:32" x14ac:dyDescent="0.3">
      <c r="A139" t="s">
        <v>54</v>
      </c>
      <c r="B139">
        <v>2016</v>
      </c>
      <c r="C139" t="s">
        <v>63</v>
      </c>
      <c r="D139">
        <f t="shared" si="4"/>
        <v>135.90769230769226</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128.69999999999999</v>
      </c>
      <c r="W139">
        <v>124.3</v>
      </c>
      <c r="X139">
        <f t="shared" si="5"/>
        <v>124.44285714285715</v>
      </c>
      <c r="Y139">
        <v>128.4</v>
      </c>
      <c r="Z139">
        <v>126.1</v>
      </c>
      <c r="AA139">
        <v>115.2</v>
      </c>
      <c r="AB139">
        <v>123.5</v>
      </c>
      <c r="AC139">
        <v>132.4</v>
      </c>
      <c r="AD139">
        <v>122.1</v>
      </c>
      <c r="AE139">
        <v>123.4</v>
      </c>
      <c r="AF139">
        <v>131.4</v>
      </c>
    </row>
    <row r="140" spans="1:32" x14ac:dyDescent="0.3">
      <c r="A140" t="s">
        <v>50</v>
      </c>
      <c r="B140">
        <v>2016</v>
      </c>
      <c r="C140" t="s">
        <v>65</v>
      </c>
      <c r="D140">
        <f t="shared" si="4"/>
        <v>135.73846153846154</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f>AVERAGE(V138:V139)</f>
        <v>128.69999999999999</v>
      </c>
      <c r="W140">
        <v>130.30000000000001</v>
      </c>
      <c r="X140">
        <f t="shared" si="5"/>
        <v>127.08571428571429</v>
      </c>
      <c r="Y140">
        <v>132.1</v>
      </c>
      <c r="Z140">
        <v>129.1</v>
      </c>
      <c r="AA140">
        <v>118.2</v>
      </c>
      <c r="AB140">
        <v>126.9</v>
      </c>
      <c r="AC140">
        <v>133.69999999999999</v>
      </c>
      <c r="AD140">
        <v>123.5</v>
      </c>
      <c r="AE140">
        <v>126.1</v>
      </c>
      <c r="AF140">
        <v>133.6</v>
      </c>
    </row>
    <row r="141" spans="1:32" x14ac:dyDescent="0.3">
      <c r="A141" t="s">
        <v>53</v>
      </c>
      <c r="B141">
        <v>2016</v>
      </c>
      <c r="C141" t="s">
        <v>65</v>
      </c>
      <c r="D141">
        <f t="shared" si="4"/>
        <v>135.01538461538462</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129.1</v>
      </c>
      <c r="W141">
        <v>116.2</v>
      </c>
      <c r="X141">
        <f t="shared" si="5"/>
        <v>122.37142857142855</v>
      </c>
      <c r="Y141">
        <v>124.7</v>
      </c>
      <c r="Z141">
        <v>122.1</v>
      </c>
      <c r="AA141">
        <v>113.4</v>
      </c>
      <c r="AB141">
        <v>121.7</v>
      </c>
      <c r="AC141">
        <v>132.1</v>
      </c>
      <c r="AD141">
        <v>121.3</v>
      </c>
      <c r="AE141">
        <v>121.3</v>
      </c>
      <c r="AF141">
        <v>128.5</v>
      </c>
    </row>
    <row r="142" spans="1:32" x14ac:dyDescent="0.3">
      <c r="A142" t="s">
        <v>54</v>
      </c>
      <c r="B142">
        <v>2016</v>
      </c>
      <c r="C142" t="s">
        <v>65</v>
      </c>
      <c r="D142">
        <f t="shared" si="4"/>
        <v>135.36923076923077</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129.1</v>
      </c>
      <c r="W142">
        <v>125</v>
      </c>
      <c r="X142">
        <f t="shared" si="5"/>
        <v>124.84285714285714</v>
      </c>
      <c r="Y142">
        <v>128.6</v>
      </c>
      <c r="Z142">
        <v>126.4</v>
      </c>
      <c r="AA142">
        <v>115.7</v>
      </c>
      <c r="AB142">
        <v>124</v>
      </c>
      <c r="AC142">
        <v>132.80000000000001</v>
      </c>
      <c r="AD142">
        <v>122.6</v>
      </c>
      <c r="AE142">
        <v>123.8</v>
      </c>
      <c r="AF142">
        <v>131.19999999999999</v>
      </c>
    </row>
    <row r="143" spans="1:32" x14ac:dyDescent="0.3">
      <c r="A143" t="s">
        <v>50</v>
      </c>
      <c r="B143">
        <v>2016</v>
      </c>
      <c r="C143" t="s">
        <v>66</v>
      </c>
      <c r="D143">
        <f t="shared" si="4"/>
        <v>134.54615384615383</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f>AVERAGE(V141:V142)</f>
        <v>129.1</v>
      </c>
      <c r="W143">
        <v>132</v>
      </c>
      <c r="X143">
        <f t="shared" si="5"/>
        <v>127.27142857142857</v>
      </c>
      <c r="Y143">
        <v>132.9</v>
      </c>
      <c r="Z143">
        <v>129.69999999999999</v>
      </c>
      <c r="AA143">
        <v>118.6</v>
      </c>
      <c r="AB143">
        <v>127.3</v>
      </c>
      <c r="AC143">
        <v>134.19999999999999</v>
      </c>
      <c r="AD143">
        <v>121.9</v>
      </c>
      <c r="AE143">
        <v>126.3</v>
      </c>
      <c r="AF143">
        <v>132.80000000000001</v>
      </c>
    </row>
    <row r="144" spans="1:32" x14ac:dyDescent="0.3">
      <c r="A144" t="s">
        <v>53</v>
      </c>
      <c r="B144">
        <v>2016</v>
      </c>
      <c r="C144" t="s">
        <v>66</v>
      </c>
      <c r="D144">
        <f t="shared" si="4"/>
        <v>133.06153846153845</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128.5</v>
      </c>
      <c r="W144">
        <v>117.8</v>
      </c>
      <c r="X144">
        <f t="shared" si="5"/>
        <v>122.34285714285714</v>
      </c>
      <c r="Y144">
        <v>125</v>
      </c>
      <c r="Z144">
        <v>122.3</v>
      </c>
      <c r="AA144">
        <v>113.7</v>
      </c>
      <c r="AB144">
        <v>121.8</v>
      </c>
      <c r="AC144">
        <v>132.30000000000001</v>
      </c>
      <c r="AD144">
        <v>119.9</v>
      </c>
      <c r="AE144">
        <v>121.4</v>
      </c>
      <c r="AF144">
        <v>127.6</v>
      </c>
    </row>
    <row r="145" spans="1:32" x14ac:dyDescent="0.3">
      <c r="A145" t="s">
        <v>54</v>
      </c>
      <c r="B145">
        <v>2016</v>
      </c>
      <c r="C145" t="s">
        <v>66</v>
      </c>
      <c r="D145">
        <f t="shared" si="4"/>
        <v>133.9</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128.5</v>
      </c>
      <c r="W145">
        <v>126.6</v>
      </c>
      <c r="X145">
        <f t="shared" si="5"/>
        <v>124.91428571428571</v>
      </c>
      <c r="Y145">
        <v>129.19999999999999</v>
      </c>
      <c r="Z145">
        <v>126.9</v>
      </c>
      <c r="AA145">
        <v>116</v>
      </c>
      <c r="AB145">
        <v>124.2</v>
      </c>
      <c r="AC145">
        <v>133.1</v>
      </c>
      <c r="AD145">
        <v>121.1</v>
      </c>
      <c r="AE145">
        <v>123.9</v>
      </c>
      <c r="AF145">
        <v>130.4</v>
      </c>
    </row>
    <row r="146" spans="1:32" x14ac:dyDescent="0.3">
      <c r="A146" t="s">
        <v>50</v>
      </c>
      <c r="B146">
        <v>2017</v>
      </c>
      <c r="C146" t="s">
        <v>51</v>
      </c>
      <c r="D146">
        <f t="shared" si="4"/>
        <v>133.63846153846154</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f>AVERAGE(V144:V145)</f>
        <v>128.5</v>
      </c>
      <c r="W146">
        <v>132.1</v>
      </c>
      <c r="X146">
        <f t="shared" si="5"/>
        <v>127.52857142857144</v>
      </c>
      <c r="Y146">
        <v>133.19999999999999</v>
      </c>
      <c r="Z146">
        <v>129.9</v>
      </c>
      <c r="AA146">
        <v>119.1</v>
      </c>
      <c r="AB146">
        <v>127</v>
      </c>
      <c r="AC146">
        <v>134.6</v>
      </c>
      <c r="AD146">
        <v>122.3</v>
      </c>
      <c r="AE146">
        <v>126.6</v>
      </c>
      <c r="AF146">
        <v>132.4</v>
      </c>
    </row>
    <row r="147" spans="1:32" x14ac:dyDescent="0.3">
      <c r="A147" t="s">
        <v>53</v>
      </c>
      <c r="B147">
        <v>2017</v>
      </c>
      <c r="C147" t="s">
        <v>51</v>
      </c>
      <c r="D147">
        <f t="shared" si="4"/>
        <v>131.78461538461539</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129.6</v>
      </c>
      <c r="W147">
        <v>118</v>
      </c>
      <c r="X147">
        <f t="shared" si="5"/>
        <v>122.89999999999999</v>
      </c>
      <c r="Y147">
        <v>125.1</v>
      </c>
      <c r="Z147">
        <v>122.6</v>
      </c>
      <c r="AA147">
        <v>115.2</v>
      </c>
      <c r="AB147">
        <v>122</v>
      </c>
      <c r="AC147">
        <v>132.4</v>
      </c>
      <c r="AD147">
        <v>120.9</v>
      </c>
      <c r="AE147">
        <v>122.1</v>
      </c>
      <c r="AF147">
        <v>127.8</v>
      </c>
    </row>
    <row r="148" spans="1:32" x14ac:dyDescent="0.3">
      <c r="A148" t="s">
        <v>54</v>
      </c>
      <c r="B148">
        <v>2017</v>
      </c>
      <c r="C148" t="s">
        <v>51</v>
      </c>
      <c r="D148">
        <f t="shared" si="4"/>
        <v>132.86923076923074</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129.6</v>
      </c>
      <c r="W148">
        <v>126.8</v>
      </c>
      <c r="X148">
        <f t="shared" si="5"/>
        <v>125.3</v>
      </c>
      <c r="Y148">
        <v>129.4</v>
      </c>
      <c r="Z148">
        <v>127.1</v>
      </c>
      <c r="AA148">
        <v>117</v>
      </c>
      <c r="AB148">
        <v>124.2</v>
      </c>
      <c r="AC148">
        <v>133.30000000000001</v>
      </c>
      <c r="AD148">
        <v>121.7</v>
      </c>
      <c r="AE148">
        <v>124.4</v>
      </c>
      <c r="AF148">
        <v>130.30000000000001</v>
      </c>
    </row>
    <row r="149" spans="1:32" x14ac:dyDescent="0.3">
      <c r="A149" t="s">
        <v>50</v>
      </c>
      <c r="B149">
        <v>2017</v>
      </c>
      <c r="C149" t="s">
        <v>55</v>
      </c>
      <c r="D149">
        <f t="shared" si="4"/>
        <v>133.42307692307693</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f>AVERAGE(V147:V148)</f>
        <v>129.6</v>
      </c>
      <c r="W149">
        <v>133.19999999999999</v>
      </c>
      <c r="X149">
        <f t="shared" si="5"/>
        <v>128</v>
      </c>
      <c r="Y149">
        <v>133.6</v>
      </c>
      <c r="Z149">
        <v>130.1</v>
      </c>
      <c r="AA149">
        <v>119.5</v>
      </c>
      <c r="AB149">
        <v>127.7</v>
      </c>
      <c r="AC149">
        <v>134.9</v>
      </c>
      <c r="AD149">
        <v>123.2</v>
      </c>
      <c r="AE149">
        <v>127</v>
      </c>
      <c r="AF149">
        <v>132.6</v>
      </c>
    </row>
    <row r="150" spans="1:32" x14ac:dyDescent="0.3">
      <c r="A150" t="s">
        <v>53</v>
      </c>
      <c r="B150">
        <v>2017</v>
      </c>
      <c r="C150" t="s">
        <v>55</v>
      </c>
      <c r="D150">
        <f t="shared" si="4"/>
        <v>131.17692307692309</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130.5</v>
      </c>
      <c r="W150">
        <v>119.2</v>
      </c>
      <c r="X150">
        <f t="shared" si="5"/>
        <v>123.2</v>
      </c>
      <c r="Y150">
        <v>125.3</v>
      </c>
      <c r="Z150">
        <v>122.9</v>
      </c>
      <c r="AA150">
        <v>115.5</v>
      </c>
      <c r="AB150">
        <v>122.2</v>
      </c>
      <c r="AC150">
        <v>132.4</v>
      </c>
      <c r="AD150">
        <v>121.7</v>
      </c>
      <c r="AE150">
        <v>122.4</v>
      </c>
      <c r="AF150">
        <v>128.19999999999999</v>
      </c>
    </row>
    <row r="151" spans="1:32" x14ac:dyDescent="0.3">
      <c r="A151" t="s">
        <v>54</v>
      </c>
      <c r="B151">
        <v>2017</v>
      </c>
      <c r="C151" t="s">
        <v>55</v>
      </c>
      <c r="D151">
        <f t="shared" si="4"/>
        <v>132.48461538461541</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130.5</v>
      </c>
      <c r="W151">
        <v>127.9</v>
      </c>
      <c r="X151">
        <f t="shared" si="5"/>
        <v>125.7</v>
      </c>
      <c r="Y151">
        <v>129.69999999999999</v>
      </c>
      <c r="Z151">
        <v>127.4</v>
      </c>
      <c r="AA151">
        <v>117.4</v>
      </c>
      <c r="AB151">
        <v>124.6</v>
      </c>
      <c r="AC151">
        <v>133.4</v>
      </c>
      <c r="AD151">
        <v>122.6</v>
      </c>
      <c r="AE151">
        <v>124.8</v>
      </c>
      <c r="AF151">
        <v>130.6</v>
      </c>
    </row>
    <row r="152" spans="1:32" x14ac:dyDescent="0.3">
      <c r="A152" t="s">
        <v>50</v>
      </c>
      <c r="B152">
        <v>2017</v>
      </c>
      <c r="C152" t="s">
        <v>56</v>
      </c>
      <c r="D152">
        <f t="shared" si="4"/>
        <v>132.96153846153848</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f>AVERAGE(V150:V151)</f>
        <v>130.5</v>
      </c>
      <c r="W152">
        <v>134.19999999999999</v>
      </c>
      <c r="X152">
        <f t="shared" si="5"/>
        <v>128.38571428571427</v>
      </c>
      <c r="Y152">
        <v>134.1</v>
      </c>
      <c r="Z152">
        <v>130.6</v>
      </c>
      <c r="AA152">
        <v>119.8</v>
      </c>
      <c r="AB152">
        <v>128.30000000000001</v>
      </c>
      <c r="AC152">
        <v>135.19999999999999</v>
      </c>
      <c r="AD152">
        <v>123.3</v>
      </c>
      <c r="AE152">
        <v>127.4</v>
      </c>
      <c r="AF152">
        <v>132.80000000000001</v>
      </c>
    </row>
    <row r="153" spans="1:32" x14ac:dyDescent="0.3">
      <c r="A153" t="s">
        <v>53</v>
      </c>
      <c r="B153">
        <v>2017</v>
      </c>
      <c r="C153" t="s">
        <v>56</v>
      </c>
      <c r="D153">
        <f t="shared" si="4"/>
        <v>131.2076923076923</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131.1</v>
      </c>
      <c r="W153">
        <v>120.8</v>
      </c>
      <c r="X153">
        <f t="shared" si="5"/>
        <v>123.4</v>
      </c>
      <c r="Y153">
        <v>125.6</v>
      </c>
      <c r="Z153">
        <v>123.1</v>
      </c>
      <c r="AA153">
        <v>115.6</v>
      </c>
      <c r="AB153">
        <v>122.4</v>
      </c>
      <c r="AC153">
        <v>132.80000000000001</v>
      </c>
      <c r="AD153">
        <v>121.7</v>
      </c>
      <c r="AE153">
        <v>122.6</v>
      </c>
      <c r="AF153">
        <v>128.69999999999999</v>
      </c>
    </row>
    <row r="154" spans="1:32" x14ac:dyDescent="0.3">
      <c r="A154" t="s">
        <v>54</v>
      </c>
      <c r="B154">
        <v>2017</v>
      </c>
      <c r="C154" t="s">
        <v>56</v>
      </c>
      <c r="D154">
        <f t="shared" si="4"/>
        <v>132.22307692307692</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131.1</v>
      </c>
      <c r="W154">
        <v>129.1</v>
      </c>
      <c r="X154">
        <f t="shared" si="5"/>
        <v>126</v>
      </c>
      <c r="Y154">
        <v>130.1</v>
      </c>
      <c r="Z154">
        <v>127.8</v>
      </c>
      <c r="AA154">
        <v>117.6</v>
      </c>
      <c r="AB154">
        <v>125</v>
      </c>
      <c r="AC154">
        <v>133.80000000000001</v>
      </c>
      <c r="AD154">
        <v>122.6</v>
      </c>
      <c r="AE154">
        <v>125.1</v>
      </c>
      <c r="AF154">
        <v>130.9</v>
      </c>
    </row>
    <row r="155" spans="1:32" x14ac:dyDescent="0.3">
      <c r="A155" t="s">
        <v>50</v>
      </c>
      <c r="B155">
        <v>2017</v>
      </c>
      <c r="C155" t="s">
        <v>57</v>
      </c>
      <c r="D155">
        <f t="shared" si="4"/>
        <v>132.7923076923077</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f>AVERAGE(V153:V154)</f>
        <v>131.1</v>
      </c>
      <c r="W155">
        <v>135</v>
      </c>
      <c r="X155">
        <f t="shared" si="5"/>
        <v>128.52857142857144</v>
      </c>
      <c r="Y155">
        <v>134.30000000000001</v>
      </c>
      <c r="Z155">
        <v>131</v>
      </c>
      <c r="AA155">
        <v>119.2</v>
      </c>
      <c r="AB155">
        <v>128.30000000000001</v>
      </c>
      <c r="AC155">
        <v>135.69999999999999</v>
      </c>
      <c r="AD155">
        <v>123.7</v>
      </c>
      <c r="AE155">
        <v>127.5</v>
      </c>
      <c r="AF155">
        <v>132.9</v>
      </c>
    </row>
    <row r="156" spans="1:32" x14ac:dyDescent="0.3">
      <c r="A156" t="s">
        <v>53</v>
      </c>
      <c r="B156">
        <v>2017</v>
      </c>
      <c r="C156" t="s">
        <v>57</v>
      </c>
      <c r="D156">
        <f t="shared" si="4"/>
        <v>131.3923076923077</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131.69999999999999</v>
      </c>
      <c r="W156">
        <v>121.4</v>
      </c>
      <c r="X156">
        <f t="shared" si="5"/>
        <v>123.51428571428572</v>
      </c>
      <c r="Y156">
        <v>126</v>
      </c>
      <c r="Z156">
        <v>123.4</v>
      </c>
      <c r="AA156">
        <v>114.3</v>
      </c>
      <c r="AB156">
        <v>122.6</v>
      </c>
      <c r="AC156">
        <v>133.6</v>
      </c>
      <c r="AD156">
        <v>122.2</v>
      </c>
      <c r="AE156">
        <v>122.5</v>
      </c>
      <c r="AF156">
        <v>129.1</v>
      </c>
    </row>
    <row r="157" spans="1:32" x14ac:dyDescent="0.3">
      <c r="A157" t="s">
        <v>54</v>
      </c>
      <c r="B157">
        <v>2017</v>
      </c>
      <c r="C157" t="s">
        <v>57</v>
      </c>
      <c r="D157">
        <f t="shared" si="4"/>
        <v>132.1846153846154</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131.69999999999999</v>
      </c>
      <c r="W157">
        <v>129.80000000000001</v>
      </c>
      <c r="X157">
        <f t="shared" si="5"/>
        <v>126.12857142857145</v>
      </c>
      <c r="Y157">
        <v>130.4</v>
      </c>
      <c r="Z157">
        <v>128.1</v>
      </c>
      <c r="AA157">
        <v>116.6</v>
      </c>
      <c r="AB157">
        <v>125.1</v>
      </c>
      <c r="AC157">
        <v>134.5</v>
      </c>
      <c r="AD157">
        <v>123.1</v>
      </c>
      <c r="AE157">
        <v>125.1</v>
      </c>
      <c r="AF157">
        <v>131.1</v>
      </c>
    </row>
    <row r="158" spans="1:32" x14ac:dyDescent="0.3">
      <c r="A158" t="s">
        <v>50</v>
      </c>
      <c r="B158">
        <v>2017</v>
      </c>
      <c r="C158" t="s">
        <v>58</v>
      </c>
      <c r="D158">
        <f t="shared" si="4"/>
        <v>132.88461538461536</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f>AVERAGE(V156:V157)</f>
        <v>131.69999999999999</v>
      </c>
      <c r="W158">
        <v>135</v>
      </c>
      <c r="X158">
        <f t="shared" si="5"/>
        <v>129.00000000000003</v>
      </c>
      <c r="Y158">
        <v>134.9</v>
      </c>
      <c r="Z158">
        <v>131.4</v>
      </c>
      <c r="AA158">
        <v>119.4</v>
      </c>
      <c r="AB158">
        <v>129.4</v>
      </c>
      <c r="AC158">
        <v>136.30000000000001</v>
      </c>
      <c r="AD158">
        <v>123.7</v>
      </c>
      <c r="AE158">
        <v>127.9</v>
      </c>
      <c r="AF158">
        <v>133.30000000000001</v>
      </c>
    </row>
    <row r="159" spans="1:32" x14ac:dyDescent="0.3">
      <c r="A159" t="s">
        <v>53</v>
      </c>
      <c r="B159">
        <v>2017</v>
      </c>
      <c r="C159" t="s">
        <v>58</v>
      </c>
      <c r="D159">
        <f t="shared" si="4"/>
        <v>131.50769230769231</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132.1</v>
      </c>
      <c r="W159">
        <v>120.1</v>
      </c>
      <c r="X159">
        <f t="shared" si="5"/>
        <v>123.65714285714286</v>
      </c>
      <c r="Y159">
        <v>126.5</v>
      </c>
      <c r="Z159">
        <v>123.6</v>
      </c>
      <c r="AA159">
        <v>114.3</v>
      </c>
      <c r="AB159">
        <v>122.8</v>
      </c>
      <c r="AC159">
        <v>133.80000000000001</v>
      </c>
      <c r="AD159">
        <v>122</v>
      </c>
      <c r="AE159">
        <v>122.6</v>
      </c>
      <c r="AF159">
        <v>129.30000000000001</v>
      </c>
    </row>
    <row r="160" spans="1:32" x14ac:dyDescent="0.3">
      <c r="A160" t="s">
        <v>54</v>
      </c>
      <c r="B160">
        <v>2017</v>
      </c>
      <c r="C160" t="s">
        <v>58</v>
      </c>
      <c r="D160">
        <f t="shared" si="4"/>
        <v>132.27692307692308</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132.1</v>
      </c>
      <c r="W160">
        <v>129.4</v>
      </c>
      <c r="X160">
        <f t="shared" si="5"/>
        <v>126.39999999999999</v>
      </c>
      <c r="Y160">
        <v>130.9</v>
      </c>
      <c r="Z160">
        <v>128.4</v>
      </c>
      <c r="AA160">
        <v>116.7</v>
      </c>
      <c r="AB160">
        <v>125.7</v>
      </c>
      <c r="AC160">
        <v>134.80000000000001</v>
      </c>
      <c r="AD160">
        <v>123</v>
      </c>
      <c r="AE160">
        <v>125.3</v>
      </c>
      <c r="AF160">
        <v>131.4</v>
      </c>
    </row>
    <row r="161" spans="1:32" x14ac:dyDescent="0.3">
      <c r="A161" t="s">
        <v>50</v>
      </c>
      <c r="B161">
        <v>2017</v>
      </c>
      <c r="C161" t="s">
        <v>59</v>
      </c>
      <c r="D161">
        <f t="shared" si="4"/>
        <v>133.75384615384615</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f>AVERAGE(V159:V160)</f>
        <v>132.1</v>
      </c>
      <c r="W161">
        <v>134.80000000000001</v>
      </c>
      <c r="X161">
        <f t="shared" si="5"/>
        <v>129.25714285714287</v>
      </c>
      <c r="Y161">
        <v>135.19999999999999</v>
      </c>
      <c r="Z161">
        <v>131.30000000000001</v>
      </c>
      <c r="AA161">
        <v>119.4</v>
      </c>
      <c r="AB161">
        <v>129.80000000000001</v>
      </c>
      <c r="AC161">
        <v>136.9</v>
      </c>
      <c r="AD161">
        <v>124.1</v>
      </c>
      <c r="AE161">
        <v>128.1</v>
      </c>
      <c r="AF161">
        <v>133.9</v>
      </c>
    </row>
    <row r="162" spans="1:32" x14ac:dyDescent="0.3">
      <c r="A162" t="s">
        <v>53</v>
      </c>
      <c r="B162">
        <v>2017</v>
      </c>
      <c r="C162" t="s">
        <v>59</v>
      </c>
      <c r="D162">
        <f t="shared" si="4"/>
        <v>133.15384615384616</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131.4</v>
      </c>
      <c r="W162">
        <v>119</v>
      </c>
      <c r="X162">
        <f t="shared" si="5"/>
        <v>123.84285714285716</v>
      </c>
      <c r="Y162">
        <v>126.8</v>
      </c>
      <c r="Z162">
        <v>123.8</v>
      </c>
      <c r="AA162">
        <v>113.9</v>
      </c>
      <c r="AB162">
        <v>122.9</v>
      </c>
      <c r="AC162">
        <v>134.30000000000001</v>
      </c>
      <c r="AD162">
        <v>122.5</v>
      </c>
      <c r="AE162">
        <v>122.7</v>
      </c>
      <c r="AF162">
        <v>129.9</v>
      </c>
    </row>
    <row r="163" spans="1:32" x14ac:dyDescent="0.3">
      <c r="A163" t="s">
        <v>54</v>
      </c>
      <c r="B163">
        <v>2017</v>
      </c>
      <c r="C163" t="s">
        <v>59</v>
      </c>
      <c r="D163">
        <f t="shared" si="4"/>
        <v>133.43846153846155</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131.4</v>
      </c>
      <c r="W163">
        <v>128.80000000000001</v>
      </c>
      <c r="X163">
        <f t="shared" si="5"/>
        <v>126.62857142857142</v>
      </c>
      <c r="Y163">
        <v>131.19999999999999</v>
      </c>
      <c r="Z163">
        <v>128.5</v>
      </c>
      <c r="AA163">
        <v>116.5</v>
      </c>
      <c r="AB163">
        <v>125.9</v>
      </c>
      <c r="AC163">
        <v>135.4</v>
      </c>
      <c r="AD163">
        <v>123.4</v>
      </c>
      <c r="AE163">
        <v>125.5</v>
      </c>
      <c r="AF163">
        <v>132</v>
      </c>
    </row>
    <row r="164" spans="1:32" x14ac:dyDescent="0.3">
      <c r="A164" t="s">
        <v>50</v>
      </c>
      <c r="B164">
        <v>2017</v>
      </c>
      <c r="C164" t="s">
        <v>60</v>
      </c>
      <c r="D164">
        <f t="shared" si="4"/>
        <v>136.37692307692308</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f>AVERAGE(V162:V163)</f>
        <v>131.4</v>
      </c>
      <c r="W164">
        <v>135.30000000000001</v>
      </c>
      <c r="X164">
        <f t="shared" si="5"/>
        <v>129.92857142857142</v>
      </c>
      <c r="Y164">
        <v>136.1</v>
      </c>
      <c r="Z164">
        <v>132.1</v>
      </c>
      <c r="AA164">
        <v>119.1</v>
      </c>
      <c r="AB164">
        <v>130.6</v>
      </c>
      <c r="AC164">
        <v>138.6</v>
      </c>
      <c r="AD164">
        <v>124.4</v>
      </c>
      <c r="AE164">
        <v>128.6</v>
      </c>
      <c r="AF164">
        <v>136.19999999999999</v>
      </c>
    </row>
    <row r="165" spans="1:32" x14ac:dyDescent="0.3">
      <c r="A165" t="s">
        <v>53</v>
      </c>
      <c r="B165">
        <v>2017</v>
      </c>
      <c r="C165" t="s">
        <v>60</v>
      </c>
      <c r="D165">
        <f t="shared" si="4"/>
        <v>136.00769230769231</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132.6</v>
      </c>
      <c r="W165">
        <v>119.7</v>
      </c>
      <c r="X165">
        <f t="shared" si="5"/>
        <v>124.25714285714285</v>
      </c>
      <c r="Y165">
        <v>127.2</v>
      </c>
      <c r="Z165">
        <v>125</v>
      </c>
      <c r="AA165">
        <v>113.2</v>
      </c>
      <c r="AB165">
        <v>123.5</v>
      </c>
      <c r="AC165">
        <v>135.5</v>
      </c>
      <c r="AD165">
        <v>122.4</v>
      </c>
      <c r="AE165">
        <v>123</v>
      </c>
      <c r="AF165">
        <v>131.80000000000001</v>
      </c>
    </row>
    <row r="166" spans="1:32" x14ac:dyDescent="0.3">
      <c r="A166" t="s">
        <v>54</v>
      </c>
      <c r="B166">
        <v>2017</v>
      </c>
      <c r="C166" t="s">
        <v>60</v>
      </c>
      <c r="D166">
        <f t="shared" si="4"/>
        <v>136.1076923076923</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132.6</v>
      </c>
      <c r="W166">
        <v>129.4</v>
      </c>
      <c r="X166">
        <f t="shared" si="5"/>
        <v>127.17142857142858</v>
      </c>
      <c r="Y166">
        <v>131.9</v>
      </c>
      <c r="Z166">
        <v>129.4</v>
      </c>
      <c r="AA166">
        <v>116</v>
      </c>
      <c r="AB166">
        <v>126.6</v>
      </c>
      <c r="AC166">
        <v>136.80000000000001</v>
      </c>
      <c r="AD166">
        <v>123.6</v>
      </c>
      <c r="AE166">
        <v>125.9</v>
      </c>
      <c r="AF166">
        <v>134.19999999999999</v>
      </c>
    </row>
    <row r="167" spans="1:32" x14ac:dyDescent="0.3">
      <c r="A167" t="s">
        <v>50</v>
      </c>
      <c r="B167">
        <v>2017</v>
      </c>
      <c r="C167" t="s">
        <v>61</v>
      </c>
      <c r="D167">
        <f t="shared" si="4"/>
        <v>137.88461538461536</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f>AVERAGE(V165:V166)</f>
        <v>132.6</v>
      </c>
      <c r="W167">
        <v>136.4</v>
      </c>
      <c r="X167">
        <f t="shared" si="5"/>
        <v>131.05714285714285</v>
      </c>
      <c r="Y167">
        <v>137.30000000000001</v>
      </c>
      <c r="Z167">
        <v>133</v>
      </c>
      <c r="AA167">
        <v>120.3</v>
      </c>
      <c r="AB167">
        <v>131.5</v>
      </c>
      <c r="AC167">
        <v>140.19999999999999</v>
      </c>
      <c r="AD167">
        <v>125.4</v>
      </c>
      <c r="AE167">
        <v>129.69999999999999</v>
      </c>
      <c r="AF167">
        <v>137.80000000000001</v>
      </c>
    </row>
    <row r="168" spans="1:32" x14ac:dyDescent="0.3">
      <c r="A168" t="s">
        <v>53</v>
      </c>
      <c r="B168">
        <v>2017</v>
      </c>
      <c r="C168" t="s">
        <v>61</v>
      </c>
      <c r="D168">
        <f t="shared" si="4"/>
        <v>136.38461538461536</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134.4</v>
      </c>
      <c r="W168">
        <v>118.9</v>
      </c>
      <c r="X168">
        <f t="shared" si="5"/>
        <v>124.98571428571427</v>
      </c>
      <c r="Y168">
        <v>127.7</v>
      </c>
      <c r="Z168">
        <v>125.7</v>
      </c>
      <c r="AA168">
        <v>114.6</v>
      </c>
      <c r="AB168">
        <v>124.1</v>
      </c>
      <c r="AC168">
        <v>135.69999999999999</v>
      </c>
      <c r="AD168">
        <v>123.3</v>
      </c>
      <c r="AE168">
        <v>123.8</v>
      </c>
      <c r="AF168">
        <v>132.69999999999999</v>
      </c>
    </row>
    <row r="169" spans="1:32" x14ac:dyDescent="0.3">
      <c r="A169" t="s">
        <v>54</v>
      </c>
      <c r="B169">
        <v>2017</v>
      </c>
      <c r="C169" t="s">
        <v>61</v>
      </c>
      <c r="D169">
        <f t="shared" si="4"/>
        <v>137.21538461538461</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134.4</v>
      </c>
      <c r="W169">
        <v>129.80000000000001</v>
      </c>
      <c r="X169">
        <f t="shared" si="5"/>
        <v>128.07142857142858</v>
      </c>
      <c r="Y169">
        <v>132.80000000000001</v>
      </c>
      <c r="Z169">
        <v>130.19999999999999</v>
      </c>
      <c r="AA169">
        <v>117.3</v>
      </c>
      <c r="AB169">
        <v>127.3</v>
      </c>
      <c r="AC169">
        <v>137.6</v>
      </c>
      <c r="AD169">
        <v>124.5</v>
      </c>
      <c r="AE169">
        <v>126.8</v>
      </c>
      <c r="AF169">
        <v>135.4</v>
      </c>
    </row>
    <row r="170" spans="1:32" x14ac:dyDescent="0.3">
      <c r="A170" t="s">
        <v>50</v>
      </c>
      <c r="B170">
        <v>2017</v>
      </c>
      <c r="C170" t="s">
        <v>62</v>
      </c>
      <c r="D170">
        <f t="shared" si="4"/>
        <v>137.25384615384615</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f>AVERAGE(V168:V169)</f>
        <v>134.4</v>
      </c>
      <c r="W170">
        <v>137.4</v>
      </c>
      <c r="X170">
        <f t="shared" si="5"/>
        <v>131.62857142857143</v>
      </c>
      <c r="Y170">
        <v>137.9</v>
      </c>
      <c r="Z170">
        <v>133.4</v>
      </c>
      <c r="AA170">
        <v>121.2</v>
      </c>
      <c r="AB170">
        <v>132.30000000000001</v>
      </c>
      <c r="AC170">
        <v>139.6</v>
      </c>
      <c r="AD170">
        <v>126.7</v>
      </c>
      <c r="AE170">
        <v>130.30000000000001</v>
      </c>
      <c r="AF170">
        <v>137.6</v>
      </c>
    </row>
    <row r="171" spans="1:32" x14ac:dyDescent="0.3">
      <c r="A171" t="s">
        <v>53</v>
      </c>
      <c r="B171">
        <v>2017</v>
      </c>
      <c r="C171" t="s">
        <v>62</v>
      </c>
      <c r="D171">
        <f t="shared" si="4"/>
        <v>134.59230769230768</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135.69999999999999</v>
      </c>
      <c r="W171">
        <v>120.6</v>
      </c>
      <c r="X171">
        <f t="shared" si="5"/>
        <v>125.6</v>
      </c>
      <c r="Y171">
        <v>128.1</v>
      </c>
      <c r="Z171">
        <v>126.1</v>
      </c>
      <c r="AA171">
        <v>115.7</v>
      </c>
      <c r="AB171">
        <v>124.5</v>
      </c>
      <c r="AC171">
        <v>135.9</v>
      </c>
      <c r="AD171">
        <v>124.4</v>
      </c>
      <c r="AE171">
        <v>124.5</v>
      </c>
      <c r="AF171">
        <v>132.4</v>
      </c>
    </row>
    <row r="172" spans="1:32" x14ac:dyDescent="0.3">
      <c r="A172" t="s">
        <v>54</v>
      </c>
      <c r="B172">
        <v>2017</v>
      </c>
      <c r="C172" t="s">
        <v>62</v>
      </c>
      <c r="D172">
        <f t="shared" si="4"/>
        <v>136.15384615384613</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135.69999999999999</v>
      </c>
      <c r="W172">
        <v>131</v>
      </c>
      <c r="X172">
        <f t="shared" si="5"/>
        <v>128.67142857142858</v>
      </c>
      <c r="Y172">
        <v>133.30000000000001</v>
      </c>
      <c r="Z172">
        <v>130.6</v>
      </c>
      <c r="AA172">
        <v>118.3</v>
      </c>
      <c r="AB172">
        <v>127.9</v>
      </c>
      <c r="AC172">
        <v>137.4</v>
      </c>
      <c r="AD172">
        <v>125.7</v>
      </c>
      <c r="AE172">
        <v>127.5</v>
      </c>
      <c r="AF172">
        <v>135.19999999999999</v>
      </c>
    </row>
    <row r="173" spans="1:32" x14ac:dyDescent="0.3">
      <c r="A173" t="s">
        <v>50</v>
      </c>
      <c r="B173">
        <v>2017</v>
      </c>
      <c r="C173" t="s">
        <v>63</v>
      </c>
      <c r="D173">
        <f t="shared" si="4"/>
        <v>137.76153846153846</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f>AVERAGE(V171:V172)</f>
        <v>135.69999999999999</v>
      </c>
      <c r="W173">
        <v>138.1</v>
      </c>
      <c r="X173">
        <f t="shared" si="5"/>
        <v>132.1142857142857</v>
      </c>
      <c r="Y173">
        <v>138.4</v>
      </c>
      <c r="Z173">
        <v>134.19999999999999</v>
      </c>
      <c r="AA173">
        <v>121</v>
      </c>
      <c r="AB173">
        <v>133</v>
      </c>
      <c r="AC173">
        <v>140.1</v>
      </c>
      <c r="AD173">
        <v>127.4</v>
      </c>
      <c r="AE173">
        <v>130.69999999999999</v>
      </c>
      <c r="AF173">
        <v>138.30000000000001</v>
      </c>
    </row>
    <row r="174" spans="1:32" x14ac:dyDescent="0.3">
      <c r="A174" t="s">
        <v>53</v>
      </c>
      <c r="B174">
        <v>2017</v>
      </c>
      <c r="C174" t="s">
        <v>63</v>
      </c>
      <c r="D174">
        <f t="shared" si="4"/>
        <v>135.82307692307691</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137.30000000000001</v>
      </c>
      <c r="W174">
        <v>122.6</v>
      </c>
      <c r="X174">
        <f t="shared" si="5"/>
        <v>125.72857142857143</v>
      </c>
      <c r="Y174">
        <v>128.30000000000001</v>
      </c>
      <c r="Z174">
        <v>126.6</v>
      </c>
      <c r="AA174">
        <v>115</v>
      </c>
      <c r="AB174">
        <v>124.8</v>
      </c>
      <c r="AC174">
        <v>136.30000000000001</v>
      </c>
      <c r="AD174">
        <v>124.6</v>
      </c>
      <c r="AE174">
        <v>124.5</v>
      </c>
      <c r="AF174">
        <v>133.5</v>
      </c>
    </row>
    <row r="175" spans="1:32" x14ac:dyDescent="0.3">
      <c r="A175" t="s">
        <v>54</v>
      </c>
      <c r="B175">
        <v>2017</v>
      </c>
      <c r="C175" t="s">
        <v>63</v>
      </c>
      <c r="D175">
        <f t="shared" si="4"/>
        <v>136.89999999999998</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137.30000000000001</v>
      </c>
      <c r="W175">
        <v>132.19999999999999</v>
      </c>
      <c r="X175">
        <f t="shared" si="5"/>
        <v>128.98571428571429</v>
      </c>
      <c r="Y175">
        <v>133.6</v>
      </c>
      <c r="Z175">
        <v>131.30000000000001</v>
      </c>
      <c r="AA175">
        <v>117.8</v>
      </c>
      <c r="AB175">
        <v>128.4</v>
      </c>
      <c r="AC175">
        <v>137.9</v>
      </c>
      <c r="AD175">
        <v>126.2</v>
      </c>
      <c r="AE175">
        <v>127.7</v>
      </c>
      <c r="AF175">
        <v>136.1</v>
      </c>
    </row>
    <row r="176" spans="1:32" x14ac:dyDescent="0.3">
      <c r="A176" t="s">
        <v>50</v>
      </c>
      <c r="B176">
        <v>2017</v>
      </c>
      <c r="C176" t="s">
        <v>65</v>
      </c>
      <c r="D176">
        <f t="shared" si="4"/>
        <v>139.82307692307694</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f>AVERAGE(V174:V175)</f>
        <v>137.30000000000001</v>
      </c>
      <c r="W176">
        <v>141.1</v>
      </c>
      <c r="X176">
        <f t="shared" si="5"/>
        <v>133.1142857142857</v>
      </c>
      <c r="Y176">
        <v>139.4</v>
      </c>
      <c r="Z176">
        <v>135.80000000000001</v>
      </c>
      <c r="AA176">
        <v>121.6</v>
      </c>
      <c r="AB176">
        <v>133.69999999999999</v>
      </c>
      <c r="AC176">
        <v>141.5</v>
      </c>
      <c r="AD176">
        <v>128.1</v>
      </c>
      <c r="AE176">
        <v>131.69999999999999</v>
      </c>
      <c r="AF176">
        <v>140</v>
      </c>
    </row>
    <row r="177" spans="1:32" x14ac:dyDescent="0.3">
      <c r="A177" t="s">
        <v>53</v>
      </c>
      <c r="B177">
        <v>2017</v>
      </c>
      <c r="C177" t="s">
        <v>65</v>
      </c>
      <c r="D177">
        <f t="shared" si="4"/>
        <v>138.2076923076923</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138.6</v>
      </c>
      <c r="W177">
        <v>125.7</v>
      </c>
      <c r="X177">
        <f t="shared" si="5"/>
        <v>126.14285714285714</v>
      </c>
      <c r="Y177">
        <v>128.80000000000001</v>
      </c>
      <c r="Z177">
        <v>127.4</v>
      </c>
      <c r="AA177">
        <v>115.3</v>
      </c>
      <c r="AB177">
        <v>125.1</v>
      </c>
      <c r="AC177">
        <v>136.6</v>
      </c>
      <c r="AD177">
        <v>124.9</v>
      </c>
      <c r="AE177">
        <v>124.9</v>
      </c>
      <c r="AF177">
        <v>134.80000000000001</v>
      </c>
    </row>
    <row r="178" spans="1:32" x14ac:dyDescent="0.3">
      <c r="A178" t="s">
        <v>54</v>
      </c>
      <c r="B178">
        <v>2017</v>
      </c>
      <c r="C178" t="s">
        <v>65</v>
      </c>
      <c r="D178">
        <f t="shared" si="4"/>
        <v>139.09230769230768</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138.6</v>
      </c>
      <c r="W178">
        <v>135.30000000000001</v>
      </c>
      <c r="X178">
        <f t="shared" si="5"/>
        <v>129.71428571428572</v>
      </c>
      <c r="Y178">
        <v>134.4</v>
      </c>
      <c r="Z178">
        <v>132.6</v>
      </c>
      <c r="AA178">
        <v>118.3</v>
      </c>
      <c r="AB178">
        <v>128.9</v>
      </c>
      <c r="AC178">
        <v>138.6</v>
      </c>
      <c r="AD178">
        <v>126.8</v>
      </c>
      <c r="AE178">
        <v>128.4</v>
      </c>
      <c r="AF178">
        <v>137.6</v>
      </c>
    </row>
    <row r="179" spans="1:32" x14ac:dyDescent="0.3">
      <c r="A179" t="s">
        <v>50</v>
      </c>
      <c r="B179">
        <v>2017</v>
      </c>
      <c r="C179" t="s">
        <v>66</v>
      </c>
      <c r="D179">
        <f t="shared" si="4"/>
        <v>139.50769230769231</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f>AVERAGE(V177:V178)</f>
        <v>138.6</v>
      </c>
      <c r="W179">
        <v>142.6</v>
      </c>
      <c r="X179">
        <f t="shared" si="5"/>
        <v>133.1142857142857</v>
      </c>
      <c r="Y179">
        <v>139.5</v>
      </c>
      <c r="Z179">
        <v>136.1</v>
      </c>
      <c r="AA179">
        <v>122</v>
      </c>
      <c r="AB179">
        <v>133.4</v>
      </c>
      <c r="AC179">
        <v>141.1</v>
      </c>
      <c r="AD179">
        <v>127.8</v>
      </c>
      <c r="AE179">
        <v>131.9</v>
      </c>
      <c r="AF179">
        <v>139.80000000000001</v>
      </c>
    </row>
    <row r="180" spans="1:32" x14ac:dyDescent="0.3">
      <c r="A180" t="s">
        <v>53</v>
      </c>
      <c r="B180">
        <v>2017</v>
      </c>
      <c r="C180" t="s">
        <v>66</v>
      </c>
      <c r="D180">
        <f t="shared" si="4"/>
        <v>135.96153846153845</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139.1</v>
      </c>
      <c r="W180">
        <v>126.8</v>
      </c>
      <c r="X180">
        <f t="shared" si="5"/>
        <v>126.39999999999999</v>
      </c>
      <c r="Y180">
        <v>129.30000000000001</v>
      </c>
      <c r="Z180">
        <v>128.19999999999999</v>
      </c>
      <c r="AA180">
        <v>115.3</v>
      </c>
      <c r="AB180">
        <v>125.6</v>
      </c>
      <c r="AC180">
        <v>136.69999999999999</v>
      </c>
      <c r="AD180">
        <v>124.6</v>
      </c>
      <c r="AE180">
        <v>125.1</v>
      </c>
      <c r="AF180">
        <v>134.1</v>
      </c>
    </row>
    <row r="181" spans="1:32" x14ac:dyDescent="0.3">
      <c r="A181" t="s">
        <v>54</v>
      </c>
      <c r="B181">
        <v>2017</v>
      </c>
      <c r="C181" t="s">
        <v>66</v>
      </c>
      <c r="D181">
        <f t="shared" si="4"/>
        <v>138.07692307692307</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139.1</v>
      </c>
      <c r="W181">
        <v>136.6</v>
      </c>
      <c r="X181">
        <f t="shared" si="5"/>
        <v>129.84285714285713</v>
      </c>
      <c r="Y181">
        <v>134.69999999999999</v>
      </c>
      <c r="Z181">
        <v>133.1</v>
      </c>
      <c r="AA181">
        <v>118.5</v>
      </c>
      <c r="AB181">
        <v>129</v>
      </c>
      <c r="AC181">
        <v>138.5</v>
      </c>
      <c r="AD181">
        <v>126.5</v>
      </c>
      <c r="AE181">
        <v>128.6</v>
      </c>
      <c r="AF181">
        <v>137.19999999999999</v>
      </c>
    </row>
    <row r="182" spans="1:32" x14ac:dyDescent="0.3">
      <c r="A182" t="s">
        <v>50</v>
      </c>
      <c r="B182">
        <v>2018</v>
      </c>
      <c r="C182" t="s">
        <v>51</v>
      </c>
      <c r="D182">
        <f t="shared" si="4"/>
        <v>138.51538461538462</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f>AVERAGE(V180:V181)</f>
        <v>139.1</v>
      </c>
      <c r="W182">
        <v>142.30000000000001</v>
      </c>
      <c r="X182">
        <f t="shared" si="5"/>
        <v>133.6142857142857</v>
      </c>
      <c r="Y182">
        <v>139.80000000000001</v>
      </c>
      <c r="Z182">
        <v>136</v>
      </c>
      <c r="AA182">
        <v>122.7</v>
      </c>
      <c r="AB182">
        <v>134.30000000000001</v>
      </c>
      <c r="AC182">
        <v>141.6</v>
      </c>
      <c r="AD182">
        <v>128.6</v>
      </c>
      <c r="AE182">
        <v>132.30000000000001</v>
      </c>
      <c r="AF182">
        <v>139.30000000000001</v>
      </c>
    </row>
    <row r="183" spans="1:32" x14ac:dyDescent="0.3">
      <c r="A183" t="s">
        <v>53</v>
      </c>
      <c r="B183">
        <v>2018</v>
      </c>
      <c r="C183" t="s">
        <v>51</v>
      </c>
      <c r="D183">
        <f t="shared" si="4"/>
        <v>134.48461538461541</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140.4</v>
      </c>
      <c r="W183">
        <v>127.3</v>
      </c>
      <c r="X183">
        <f t="shared" si="5"/>
        <v>127.05714285714285</v>
      </c>
      <c r="Y183">
        <v>129.5</v>
      </c>
      <c r="Z183">
        <v>129</v>
      </c>
      <c r="AA183">
        <v>116.3</v>
      </c>
      <c r="AB183">
        <v>126.2</v>
      </c>
      <c r="AC183">
        <v>137.1</v>
      </c>
      <c r="AD183">
        <v>125.5</v>
      </c>
      <c r="AE183">
        <v>125.8</v>
      </c>
      <c r="AF183">
        <v>134.1</v>
      </c>
    </row>
    <row r="184" spans="1:32" x14ac:dyDescent="0.3">
      <c r="A184" t="s">
        <v>54</v>
      </c>
      <c r="B184">
        <v>2018</v>
      </c>
      <c r="C184" t="s">
        <v>51</v>
      </c>
      <c r="D184">
        <f t="shared" si="4"/>
        <v>136.91538461538462</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140.4</v>
      </c>
      <c r="W184">
        <v>136.6</v>
      </c>
      <c r="X184">
        <f t="shared" si="5"/>
        <v>130.37142857142857</v>
      </c>
      <c r="Y184">
        <v>134.9</v>
      </c>
      <c r="Z184">
        <v>133.30000000000001</v>
      </c>
      <c r="AA184">
        <v>119.3</v>
      </c>
      <c r="AB184">
        <v>129.69999999999999</v>
      </c>
      <c r="AC184">
        <v>139</v>
      </c>
      <c r="AD184">
        <v>127.3</v>
      </c>
      <c r="AE184">
        <v>129.1</v>
      </c>
      <c r="AF184">
        <v>136.9</v>
      </c>
    </row>
    <row r="185" spans="1:32" x14ac:dyDescent="0.3">
      <c r="A185" t="s">
        <v>50</v>
      </c>
      <c r="B185">
        <v>2018</v>
      </c>
      <c r="C185" t="s">
        <v>55</v>
      </c>
      <c r="D185">
        <f t="shared" si="4"/>
        <v>137.03846153846155</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f>AVERAGE(V183:V184)</f>
        <v>140.4</v>
      </c>
      <c r="W185">
        <v>142.4</v>
      </c>
      <c r="X185">
        <f t="shared" si="5"/>
        <v>133.78571428571428</v>
      </c>
      <c r="Y185">
        <v>139.9</v>
      </c>
      <c r="Z185">
        <v>136.19999999999999</v>
      </c>
      <c r="AA185">
        <v>123.3</v>
      </c>
      <c r="AB185">
        <v>134.30000000000001</v>
      </c>
      <c r="AC185">
        <v>141.5</v>
      </c>
      <c r="AD185">
        <v>128.80000000000001</v>
      </c>
      <c r="AE185">
        <v>132.5</v>
      </c>
      <c r="AF185">
        <v>138.5</v>
      </c>
    </row>
    <row r="186" spans="1:32" x14ac:dyDescent="0.3">
      <c r="A186" t="s">
        <v>53</v>
      </c>
      <c r="B186">
        <v>2018</v>
      </c>
      <c r="C186" t="s">
        <v>55</v>
      </c>
      <c r="D186">
        <f t="shared" si="4"/>
        <v>132.91538461538462</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141.30000000000001</v>
      </c>
      <c r="W186">
        <v>127.3</v>
      </c>
      <c r="X186">
        <f t="shared" si="5"/>
        <v>127.64285714285714</v>
      </c>
      <c r="Y186">
        <v>129.9</v>
      </c>
      <c r="Z186">
        <v>129.80000000000001</v>
      </c>
      <c r="AA186">
        <v>117.4</v>
      </c>
      <c r="AB186">
        <v>126.5</v>
      </c>
      <c r="AC186">
        <v>137.19999999999999</v>
      </c>
      <c r="AD186">
        <v>126.2</v>
      </c>
      <c r="AE186">
        <v>126.5</v>
      </c>
      <c r="AF186">
        <v>134</v>
      </c>
    </row>
    <row r="187" spans="1:32" x14ac:dyDescent="0.3">
      <c r="A187" t="s">
        <v>54</v>
      </c>
      <c r="B187">
        <v>2018</v>
      </c>
      <c r="C187" t="s">
        <v>55</v>
      </c>
      <c r="D187">
        <f t="shared" si="4"/>
        <v>135.4153846153846</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141.30000000000001</v>
      </c>
      <c r="W187">
        <v>136.69999999999999</v>
      </c>
      <c r="X187">
        <f t="shared" si="5"/>
        <v>130.77142857142857</v>
      </c>
      <c r="Y187">
        <v>135.19999999999999</v>
      </c>
      <c r="Z187">
        <v>133.80000000000001</v>
      </c>
      <c r="AA187">
        <v>120.2</v>
      </c>
      <c r="AB187">
        <v>129.9</v>
      </c>
      <c r="AC187">
        <v>139</v>
      </c>
      <c r="AD187">
        <v>127.7</v>
      </c>
      <c r="AE187">
        <v>129.6</v>
      </c>
      <c r="AF187">
        <v>136.4</v>
      </c>
    </row>
    <row r="188" spans="1:32" x14ac:dyDescent="0.3">
      <c r="A188" t="s">
        <v>50</v>
      </c>
      <c r="B188">
        <v>2018</v>
      </c>
      <c r="C188" t="s">
        <v>56</v>
      </c>
      <c r="D188">
        <f t="shared" si="4"/>
        <v>137.07692307692307</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f>AVERAGE(V186:V187)</f>
        <v>141.30000000000001</v>
      </c>
      <c r="W188">
        <v>142.6</v>
      </c>
      <c r="X188">
        <f t="shared" si="5"/>
        <v>134.51428571428571</v>
      </c>
      <c r="Y188">
        <v>139.9</v>
      </c>
      <c r="Z188">
        <v>136.69999999999999</v>
      </c>
      <c r="AA188">
        <v>124.6</v>
      </c>
      <c r="AB188">
        <v>135.1</v>
      </c>
      <c r="AC188">
        <v>142.69999999999999</v>
      </c>
      <c r="AD188">
        <v>129.30000000000001</v>
      </c>
      <c r="AE188">
        <v>133.30000000000001</v>
      </c>
      <c r="AF188">
        <v>138.69999999999999</v>
      </c>
    </row>
    <row r="189" spans="1:32" x14ac:dyDescent="0.3">
      <c r="A189" t="s">
        <v>53</v>
      </c>
      <c r="B189">
        <v>2018</v>
      </c>
      <c r="C189" t="s">
        <v>56</v>
      </c>
      <c r="D189">
        <f t="shared" si="4"/>
        <v>131.96153846153845</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142</v>
      </c>
      <c r="W189">
        <v>126.4</v>
      </c>
      <c r="X189">
        <f t="shared" si="5"/>
        <v>128.21428571428572</v>
      </c>
      <c r="Y189">
        <v>130.80000000000001</v>
      </c>
      <c r="Z189">
        <v>130.5</v>
      </c>
      <c r="AA189">
        <v>117.8</v>
      </c>
      <c r="AB189">
        <v>126.8</v>
      </c>
      <c r="AC189">
        <v>137.80000000000001</v>
      </c>
      <c r="AD189">
        <v>126.7</v>
      </c>
      <c r="AE189">
        <v>127.1</v>
      </c>
      <c r="AF189">
        <v>134</v>
      </c>
    </row>
    <row r="190" spans="1:32" x14ac:dyDescent="0.3">
      <c r="A190" t="s">
        <v>54</v>
      </c>
      <c r="B190">
        <v>2018</v>
      </c>
      <c r="C190" t="s">
        <v>56</v>
      </c>
      <c r="D190">
        <f t="shared" si="4"/>
        <v>135.07692307692307</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142</v>
      </c>
      <c r="W190">
        <v>136.5</v>
      </c>
      <c r="X190">
        <f t="shared" si="5"/>
        <v>131.37142857142857</v>
      </c>
      <c r="Y190">
        <v>135.6</v>
      </c>
      <c r="Z190">
        <v>134.30000000000001</v>
      </c>
      <c r="AA190">
        <v>121</v>
      </c>
      <c r="AB190">
        <v>130.4</v>
      </c>
      <c r="AC190">
        <v>139.80000000000001</v>
      </c>
      <c r="AD190">
        <v>128.19999999999999</v>
      </c>
      <c r="AE190">
        <v>130.30000000000001</v>
      </c>
      <c r="AF190">
        <v>136.5</v>
      </c>
    </row>
    <row r="191" spans="1:32" x14ac:dyDescent="0.3">
      <c r="A191" t="s">
        <v>50</v>
      </c>
      <c r="B191">
        <v>2018</v>
      </c>
      <c r="C191" t="s">
        <v>57</v>
      </c>
      <c r="D191">
        <f t="shared" si="4"/>
        <v>136.92307692307693</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f>AVERAGE(V189:V190)</f>
        <v>142</v>
      </c>
      <c r="W191">
        <v>143.80000000000001</v>
      </c>
      <c r="X191">
        <f t="shared" si="5"/>
        <v>135.44285714285712</v>
      </c>
      <c r="Y191">
        <v>140.9</v>
      </c>
      <c r="Z191">
        <v>137.6</v>
      </c>
      <c r="AA191">
        <v>125.3</v>
      </c>
      <c r="AB191">
        <v>136</v>
      </c>
      <c r="AC191">
        <v>143.69999999999999</v>
      </c>
      <c r="AD191">
        <v>130.4</v>
      </c>
      <c r="AE191">
        <v>134.19999999999999</v>
      </c>
      <c r="AF191">
        <v>139.1</v>
      </c>
    </row>
    <row r="192" spans="1:32" x14ac:dyDescent="0.3">
      <c r="A192" t="s">
        <v>53</v>
      </c>
      <c r="B192">
        <v>2018</v>
      </c>
      <c r="C192" t="s">
        <v>57</v>
      </c>
      <c r="D192">
        <f t="shared" si="4"/>
        <v>132.30769230769232</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142.9</v>
      </c>
      <c r="W192">
        <v>124.6</v>
      </c>
      <c r="X192">
        <f t="shared" si="5"/>
        <v>129.29999999999998</v>
      </c>
      <c r="Y192">
        <v>131.80000000000001</v>
      </c>
      <c r="Z192">
        <v>131.30000000000001</v>
      </c>
      <c r="AA192">
        <v>118.9</v>
      </c>
      <c r="AB192">
        <v>127.6</v>
      </c>
      <c r="AC192">
        <v>139.69999999999999</v>
      </c>
      <c r="AD192">
        <v>127.6</v>
      </c>
      <c r="AE192">
        <v>128.19999999999999</v>
      </c>
      <c r="AF192">
        <v>134.80000000000001</v>
      </c>
    </row>
    <row r="193" spans="1:32" x14ac:dyDescent="0.3">
      <c r="A193" t="s">
        <v>54</v>
      </c>
      <c r="B193">
        <v>2018</v>
      </c>
      <c r="C193" t="s">
        <v>57</v>
      </c>
      <c r="D193">
        <f t="shared" si="4"/>
        <v>135.16153846153847</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142.9</v>
      </c>
      <c r="W193">
        <v>136.5</v>
      </c>
      <c r="X193">
        <f t="shared" si="5"/>
        <v>132.41428571428568</v>
      </c>
      <c r="Y193">
        <v>136.6</v>
      </c>
      <c r="Z193">
        <v>135.19999999999999</v>
      </c>
      <c r="AA193">
        <v>121.9</v>
      </c>
      <c r="AB193">
        <v>131.30000000000001</v>
      </c>
      <c r="AC193">
        <v>141.4</v>
      </c>
      <c r="AD193">
        <v>129.19999999999999</v>
      </c>
      <c r="AE193">
        <v>131.30000000000001</v>
      </c>
      <c r="AF193">
        <v>137.1</v>
      </c>
    </row>
    <row r="194" spans="1:32" x14ac:dyDescent="0.3">
      <c r="A194" t="s">
        <v>50</v>
      </c>
      <c r="B194">
        <v>2018</v>
      </c>
      <c r="C194" t="s">
        <v>58</v>
      </c>
      <c r="D194">
        <f t="shared" si="4"/>
        <v>137.1076923076923</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f>AVERAGE(V192:V193)</f>
        <v>142.9</v>
      </c>
      <c r="W194">
        <v>144.30000000000001</v>
      </c>
      <c r="X194">
        <f t="shared" si="5"/>
        <v>136.30000000000001</v>
      </c>
      <c r="Y194">
        <v>141.80000000000001</v>
      </c>
      <c r="Z194">
        <v>138.4</v>
      </c>
      <c r="AA194">
        <v>126.4</v>
      </c>
      <c r="AB194">
        <v>136.80000000000001</v>
      </c>
      <c r="AC194">
        <v>144.4</v>
      </c>
      <c r="AD194">
        <v>131.19999999999999</v>
      </c>
      <c r="AE194">
        <v>135.1</v>
      </c>
      <c r="AF194">
        <v>139.80000000000001</v>
      </c>
    </row>
    <row r="195" spans="1:32" x14ac:dyDescent="0.3">
      <c r="A195" t="s">
        <v>53</v>
      </c>
      <c r="B195">
        <v>2018</v>
      </c>
      <c r="C195" t="s">
        <v>58</v>
      </c>
      <c r="D195">
        <f t="shared" ref="D195:D258" si="6">AVERAGE(E195:Q195)</f>
        <v>132.53076923076921</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143.19999999999999</v>
      </c>
      <c r="W195">
        <v>124.7</v>
      </c>
      <c r="X195">
        <f t="shared" ref="X195:X258" si="7">AVERAGE(Y195:AE195)</f>
        <v>129.95714285714286</v>
      </c>
      <c r="Y195">
        <v>132.5</v>
      </c>
      <c r="Z195">
        <v>132</v>
      </c>
      <c r="AA195">
        <v>119.8</v>
      </c>
      <c r="AB195">
        <v>128</v>
      </c>
      <c r="AC195">
        <v>140.4</v>
      </c>
      <c r="AD195">
        <v>128.1</v>
      </c>
      <c r="AE195">
        <v>128.9</v>
      </c>
      <c r="AF195">
        <v>135.4</v>
      </c>
    </row>
    <row r="196" spans="1:32" x14ac:dyDescent="0.3">
      <c r="A196" t="s">
        <v>54</v>
      </c>
      <c r="B196">
        <v>2018</v>
      </c>
      <c r="C196" t="s">
        <v>58</v>
      </c>
      <c r="D196">
        <f t="shared" si="6"/>
        <v>135.36923076923077</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143.19999999999999</v>
      </c>
      <c r="W196">
        <v>136.9</v>
      </c>
      <c r="X196">
        <f t="shared" si="7"/>
        <v>133.17142857142855</v>
      </c>
      <c r="Y196">
        <v>137.4</v>
      </c>
      <c r="Z196">
        <v>136</v>
      </c>
      <c r="AA196">
        <v>122.9</v>
      </c>
      <c r="AB196">
        <v>131.80000000000001</v>
      </c>
      <c r="AC196">
        <v>142.1</v>
      </c>
      <c r="AD196">
        <v>129.9</v>
      </c>
      <c r="AE196">
        <v>132.1</v>
      </c>
      <c r="AF196">
        <v>137.80000000000001</v>
      </c>
    </row>
    <row r="197" spans="1:32" x14ac:dyDescent="0.3">
      <c r="A197" t="s">
        <v>50</v>
      </c>
      <c r="B197">
        <v>2018</v>
      </c>
      <c r="C197" t="s">
        <v>59</v>
      </c>
      <c r="D197">
        <f t="shared" si="6"/>
        <v>137.71538461538461</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f>AVERAGE(V195:V196)</f>
        <v>143.19999999999999</v>
      </c>
      <c r="W197">
        <v>145.1</v>
      </c>
      <c r="X197">
        <f t="shared" si="7"/>
        <v>136.84285714285713</v>
      </c>
      <c r="Y197">
        <v>142.19999999999999</v>
      </c>
      <c r="Z197">
        <v>138.4</v>
      </c>
      <c r="AA197">
        <v>127.4</v>
      </c>
      <c r="AB197">
        <v>137.80000000000001</v>
      </c>
      <c r="AC197">
        <v>145.1</v>
      </c>
      <c r="AD197">
        <v>131.4</v>
      </c>
      <c r="AE197">
        <v>135.6</v>
      </c>
      <c r="AF197">
        <v>140.5</v>
      </c>
    </row>
    <row r="198" spans="1:32" x14ac:dyDescent="0.3">
      <c r="A198" t="s">
        <v>53</v>
      </c>
      <c r="B198">
        <v>2018</v>
      </c>
      <c r="C198" t="s">
        <v>59</v>
      </c>
      <c r="D198">
        <f t="shared" si="6"/>
        <v>134.40769230769232</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142.5</v>
      </c>
      <c r="W198">
        <v>126.5</v>
      </c>
      <c r="X198">
        <f t="shared" si="7"/>
        <v>130.5</v>
      </c>
      <c r="Y198">
        <v>133.1</v>
      </c>
      <c r="Z198">
        <v>132.6</v>
      </c>
      <c r="AA198">
        <v>120.4</v>
      </c>
      <c r="AB198">
        <v>128.5</v>
      </c>
      <c r="AC198">
        <v>141.19999999999999</v>
      </c>
      <c r="AD198">
        <v>128.19999999999999</v>
      </c>
      <c r="AE198">
        <v>129.5</v>
      </c>
      <c r="AF198">
        <v>136.19999999999999</v>
      </c>
    </row>
    <row r="199" spans="1:32" x14ac:dyDescent="0.3">
      <c r="A199" t="s">
        <v>54</v>
      </c>
      <c r="B199">
        <v>2018</v>
      </c>
      <c r="C199" t="s">
        <v>59</v>
      </c>
      <c r="D199">
        <f t="shared" si="6"/>
        <v>136.46923076923079</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142.5</v>
      </c>
      <c r="W199">
        <v>138.1</v>
      </c>
      <c r="X199">
        <f t="shared" si="7"/>
        <v>133.70000000000002</v>
      </c>
      <c r="Y199">
        <v>137.9</v>
      </c>
      <c r="Z199">
        <v>136.19999999999999</v>
      </c>
      <c r="AA199">
        <v>123.7</v>
      </c>
      <c r="AB199">
        <v>132.6</v>
      </c>
      <c r="AC199">
        <v>142.80000000000001</v>
      </c>
      <c r="AD199">
        <v>130.1</v>
      </c>
      <c r="AE199">
        <v>132.6</v>
      </c>
      <c r="AF199">
        <v>138.5</v>
      </c>
    </row>
    <row r="200" spans="1:32" x14ac:dyDescent="0.3">
      <c r="A200" t="s">
        <v>50</v>
      </c>
      <c r="B200">
        <v>2018</v>
      </c>
      <c r="C200" t="s">
        <v>60</v>
      </c>
      <c r="D200">
        <f t="shared" si="6"/>
        <v>139.26923076923077</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f>AVERAGE(V198:V199)</f>
        <v>142.5</v>
      </c>
      <c r="W200">
        <v>146.80000000000001</v>
      </c>
      <c r="X200">
        <f t="shared" si="7"/>
        <v>137.31428571428572</v>
      </c>
      <c r="Y200">
        <v>143.1</v>
      </c>
      <c r="Z200">
        <v>139</v>
      </c>
      <c r="AA200">
        <v>127.5</v>
      </c>
      <c r="AB200">
        <v>138.4</v>
      </c>
      <c r="AC200">
        <v>145.80000000000001</v>
      </c>
      <c r="AD200">
        <v>131.4</v>
      </c>
      <c r="AE200">
        <v>136</v>
      </c>
      <c r="AF200">
        <v>141.80000000000001</v>
      </c>
    </row>
    <row r="201" spans="1:32" x14ac:dyDescent="0.3">
      <c r="A201" t="s">
        <v>53</v>
      </c>
      <c r="B201">
        <v>2018</v>
      </c>
      <c r="C201" t="s">
        <v>60</v>
      </c>
      <c r="D201">
        <f t="shared" si="6"/>
        <v>136.23846153846154</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143.6</v>
      </c>
      <c r="W201">
        <v>128.1</v>
      </c>
      <c r="X201">
        <f t="shared" si="7"/>
        <v>131.24285714285716</v>
      </c>
      <c r="Y201">
        <v>133.6</v>
      </c>
      <c r="Z201">
        <v>133.6</v>
      </c>
      <c r="AA201">
        <v>120.1</v>
      </c>
      <c r="AB201">
        <v>129</v>
      </c>
      <c r="AC201">
        <v>144</v>
      </c>
      <c r="AD201">
        <v>128.19999999999999</v>
      </c>
      <c r="AE201">
        <v>130.19999999999999</v>
      </c>
      <c r="AF201">
        <v>137.5</v>
      </c>
    </row>
    <row r="202" spans="1:32" x14ac:dyDescent="0.3">
      <c r="A202" t="s">
        <v>54</v>
      </c>
      <c r="B202">
        <v>2018</v>
      </c>
      <c r="C202" t="s">
        <v>60</v>
      </c>
      <c r="D202">
        <f t="shared" si="6"/>
        <v>138.1</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143.6</v>
      </c>
      <c r="W202">
        <v>139.69999999999999</v>
      </c>
      <c r="X202">
        <f t="shared" si="7"/>
        <v>134.32857142857142</v>
      </c>
      <c r="Y202">
        <v>138.6</v>
      </c>
      <c r="Z202">
        <v>137</v>
      </c>
      <c r="AA202">
        <v>123.6</v>
      </c>
      <c r="AB202">
        <v>133.1</v>
      </c>
      <c r="AC202">
        <v>144.69999999999999</v>
      </c>
      <c r="AD202">
        <v>130.1</v>
      </c>
      <c r="AE202">
        <v>133.19999999999999</v>
      </c>
      <c r="AF202">
        <v>139.80000000000001</v>
      </c>
    </row>
    <row r="203" spans="1:32" x14ac:dyDescent="0.3">
      <c r="A203" t="s">
        <v>50</v>
      </c>
      <c r="B203">
        <v>2018</v>
      </c>
      <c r="C203" t="s">
        <v>61</v>
      </c>
      <c r="D203">
        <f t="shared" si="6"/>
        <v>139.90769230769232</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f>AVERAGE(V201:V202)</f>
        <v>143.6</v>
      </c>
      <c r="W203">
        <v>147.69999999999999</v>
      </c>
      <c r="X203">
        <f t="shared" si="7"/>
        <v>137.84285714285713</v>
      </c>
      <c r="Y203">
        <v>143.80000000000001</v>
      </c>
      <c r="Z203">
        <v>139.4</v>
      </c>
      <c r="AA203">
        <v>128.30000000000001</v>
      </c>
      <c r="AB203">
        <v>138.6</v>
      </c>
      <c r="AC203">
        <v>146.9</v>
      </c>
      <c r="AD203">
        <v>131.30000000000001</v>
      </c>
      <c r="AE203">
        <v>136.6</v>
      </c>
      <c r="AF203">
        <v>142.5</v>
      </c>
    </row>
    <row r="204" spans="1:32" x14ac:dyDescent="0.3">
      <c r="A204" t="s">
        <v>53</v>
      </c>
      <c r="B204">
        <v>2018</v>
      </c>
      <c r="C204" t="s">
        <v>61</v>
      </c>
      <c r="D204">
        <f t="shared" si="6"/>
        <v>135.96923076923076</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144.6</v>
      </c>
      <c r="W204">
        <v>129.80000000000001</v>
      </c>
      <c r="X204">
        <f t="shared" si="7"/>
        <v>132.05714285714285</v>
      </c>
      <c r="Y204">
        <v>134.4</v>
      </c>
      <c r="Z204">
        <v>134.9</v>
      </c>
      <c r="AA204">
        <v>120.7</v>
      </c>
      <c r="AB204">
        <v>129.80000000000001</v>
      </c>
      <c r="AC204">
        <v>145.30000000000001</v>
      </c>
      <c r="AD204">
        <v>128.30000000000001</v>
      </c>
      <c r="AE204">
        <v>131</v>
      </c>
      <c r="AF204">
        <v>138</v>
      </c>
    </row>
    <row r="205" spans="1:32" x14ac:dyDescent="0.3">
      <c r="A205" t="s">
        <v>54</v>
      </c>
      <c r="B205">
        <v>2018</v>
      </c>
      <c r="C205" t="s">
        <v>61</v>
      </c>
      <c r="D205">
        <f t="shared" si="6"/>
        <v>138.36153846153849</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144.6</v>
      </c>
      <c r="W205">
        <v>140.9</v>
      </c>
      <c r="X205">
        <f t="shared" si="7"/>
        <v>135</v>
      </c>
      <c r="Y205">
        <v>139.4</v>
      </c>
      <c r="Z205">
        <v>137.69999999999999</v>
      </c>
      <c r="AA205">
        <v>124.3</v>
      </c>
      <c r="AB205">
        <v>133.6</v>
      </c>
      <c r="AC205">
        <v>146</v>
      </c>
      <c r="AD205">
        <v>130.1</v>
      </c>
      <c r="AE205">
        <v>133.9</v>
      </c>
      <c r="AF205">
        <v>140.4</v>
      </c>
    </row>
    <row r="206" spans="1:32" x14ac:dyDescent="0.3">
      <c r="A206" t="s">
        <v>50</v>
      </c>
      <c r="B206">
        <v>2018</v>
      </c>
      <c r="C206" t="s">
        <v>62</v>
      </c>
      <c r="D206">
        <f t="shared" si="6"/>
        <v>138.44615384615386</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f>AVERAGE(V204:V205)</f>
        <v>144.6</v>
      </c>
      <c r="W206">
        <v>149</v>
      </c>
      <c r="X206">
        <f t="shared" si="7"/>
        <v>138.69999999999999</v>
      </c>
      <c r="Y206">
        <v>144</v>
      </c>
      <c r="Z206">
        <v>140</v>
      </c>
      <c r="AA206">
        <v>129.9</v>
      </c>
      <c r="AB206">
        <v>140</v>
      </c>
      <c r="AC206">
        <v>147.6</v>
      </c>
      <c r="AD206">
        <v>132</v>
      </c>
      <c r="AE206">
        <v>137.4</v>
      </c>
      <c r="AF206">
        <v>142.1</v>
      </c>
    </row>
    <row r="207" spans="1:32" x14ac:dyDescent="0.3">
      <c r="A207" t="s">
        <v>53</v>
      </c>
      <c r="B207">
        <v>2018</v>
      </c>
      <c r="C207" t="s">
        <v>62</v>
      </c>
      <c r="D207">
        <f t="shared" si="6"/>
        <v>134.49230769230769</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145.30000000000001</v>
      </c>
      <c r="W207">
        <v>131.19999999999999</v>
      </c>
      <c r="X207">
        <f t="shared" si="7"/>
        <v>132.81428571428572</v>
      </c>
      <c r="Y207">
        <v>134.9</v>
      </c>
      <c r="Z207">
        <v>135.69999999999999</v>
      </c>
      <c r="AA207">
        <v>122.5</v>
      </c>
      <c r="AB207">
        <v>130.19999999999999</v>
      </c>
      <c r="AC207">
        <v>145.19999999999999</v>
      </c>
      <c r="AD207">
        <v>129.30000000000001</v>
      </c>
      <c r="AE207">
        <v>131.9</v>
      </c>
      <c r="AF207">
        <v>138.1</v>
      </c>
    </row>
    <row r="208" spans="1:32" x14ac:dyDescent="0.3">
      <c r="A208" t="s">
        <v>54</v>
      </c>
      <c r="B208">
        <v>2018</v>
      </c>
      <c r="C208" t="s">
        <v>62</v>
      </c>
      <c r="D208">
        <f t="shared" si="6"/>
        <v>136.88461538461539</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145.30000000000001</v>
      </c>
      <c r="W208">
        <v>142.30000000000001</v>
      </c>
      <c r="X208">
        <f t="shared" si="7"/>
        <v>135.77142857142854</v>
      </c>
      <c r="Y208">
        <v>139.69999999999999</v>
      </c>
      <c r="Z208">
        <v>138.4</v>
      </c>
      <c r="AA208">
        <v>126</v>
      </c>
      <c r="AB208">
        <v>134.5</v>
      </c>
      <c r="AC208">
        <v>146.19999999999999</v>
      </c>
      <c r="AD208">
        <v>130.9</v>
      </c>
      <c r="AE208">
        <v>134.69999999999999</v>
      </c>
      <c r="AF208">
        <v>140.19999999999999</v>
      </c>
    </row>
    <row r="209" spans="1:32" x14ac:dyDescent="0.3">
      <c r="A209" t="s">
        <v>50</v>
      </c>
      <c r="B209">
        <v>2018</v>
      </c>
      <c r="C209" t="s">
        <v>63</v>
      </c>
      <c r="D209">
        <f t="shared" si="6"/>
        <v>137.09230769230768</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f>AVERAGE(V207:V208)</f>
        <v>145.30000000000001</v>
      </c>
      <c r="W209">
        <v>149.69999999999999</v>
      </c>
      <c r="X209">
        <f t="shared" si="7"/>
        <v>140.77142857142857</v>
      </c>
      <c r="Y209">
        <v>147.5</v>
      </c>
      <c r="Z209">
        <v>144.80000000000001</v>
      </c>
      <c r="AA209">
        <v>130.80000000000001</v>
      </c>
      <c r="AB209">
        <v>140.1</v>
      </c>
      <c r="AC209">
        <v>148</v>
      </c>
      <c r="AD209">
        <v>134.4</v>
      </c>
      <c r="AE209">
        <v>139.80000000000001</v>
      </c>
      <c r="AF209">
        <v>142.19999999999999</v>
      </c>
    </row>
    <row r="210" spans="1:32" x14ac:dyDescent="0.3">
      <c r="A210" t="s">
        <v>53</v>
      </c>
      <c r="B210">
        <v>2018</v>
      </c>
      <c r="C210" t="s">
        <v>63</v>
      </c>
      <c r="D210">
        <f t="shared" si="6"/>
        <v>134.93076923076922</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146.30000000000001</v>
      </c>
      <c r="W210">
        <v>133.4</v>
      </c>
      <c r="X210">
        <f t="shared" si="7"/>
        <v>133.38571428571427</v>
      </c>
      <c r="Y210">
        <v>135.1</v>
      </c>
      <c r="Z210">
        <v>136.19999999999999</v>
      </c>
      <c r="AA210">
        <v>123.3</v>
      </c>
      <c r="AB210">
        <v>130.69999999999999</v>
      </c>
      <c r="AC210">
        <v>145.5</v>
      </c>
      <c r="AD210">
        <v>130.4</v>
      </c>
      <c r="AE210">
        <v>132.5</v>
      </c>
      <c r="AF210">
        <v>138.9</v>
      </c>
    </row>
    <row r="211" spans="1:32" x14ac:dyDescent="0.3">
      <c r="A211" t="s">
        <v>54</v>
      </c>
      <c r="B211">
        <v>2018</v>
      </c>
      <c r="C211" t="s">
        <v>63</v>
      </c>
      <c r="D211">
        <f t="shared" si="6"/>
        <v>136.63076923076923</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146.9</v>
      </c>
      <c r="W211">
        <v>145.30000000000001</v>
      </c>
      <c r="X211">
        <f t="shared" si="7"/>
        <v>137.48571428571427</v>
      </c>
      <c r="Y211">
        <v>142.19999999999999</v>
      </c>
      <c r="Z211">
        <v>142.1</v>
      </c>
      <c r="AA211">
        <v>125.5</v>
      </c>
      <c r="AB211">
        <v>136.5</v>
      </c>
      <c r="AC211">
        <v>147.80000000000001</v>
      </c>
      <c r="AD211">
        <v>132</v>
      </c>
      <c r="AE211">
        <v>136.30000000000001</v>
      </c>
      <c r="AF211">
        <v>140.80000000000001</v>
      </c>
    </row>
    <row r="212" spans="1:32" x14ac:dyDescent="0.3">
      <c r="A212" t="s">
        <v>50</v>
      </c>
      <c r="B212">
        <v>2018</v>
      </c>
      <c r="C212" t="s">
        <v>65</v>
      </c>
      <c r="D212">
        <f t="shared" si="6"/>
        <v>137.49999999999997</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f>AVERAGE(V210:V211)</f>
        <v>146.60000000000002</v>
      </c>
      <c r="W212">
        <v>150.30000000000001</v>
      </c>
      <c r="X212">
        <f t="shared" si="7"/>
        <v>141.45714285714286</v>
      </c>
      <c r="Y212">
        <v>148</v>
      </c>
      <c r="Z212">
        <v>145.4</v>
      </c>
      <c r="AA212">
        <v>130.30000000000001</v>
      </c>
      <c r="AB212">
        <v>143.1</v>
      </c>
      <c r="AC212">
        <v>150.19999999999999</v>
      </c>
      <c r="AD212">
        <v>133.1</v>
      </c>
      <c r="AE212">
        <v>140.1</v>
      </c>
      <c r="AF212">
        <v>142.4</v>
      </c>
    </row>
    <row r="213" spans="1:32" x14ac:dyDescent="0.3">
      <c r="A213" t="s">
        <v>53</v>
      </c>
      <c r="B213">
        <v>2018</v>
      </c>
      <c r="C213" t="s">
        <v>65</v>
      </c>
      <c r="D213">
        <f t="shared" si="6"/>
        <v>135.19230769230768</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146.9</v>
      </c>
      <c r="W213">
        <v>136.69999999999999</v>
      </c>
      <c r="X213">
        <f t="shared" si="7"/>
        <v>133.41428571428574</v>
      </c>
      <c r="Y213">
        <v>135.80000000000001</v>
      </c>
      <c r="Z213">
        <v>136.80000000000001</v>
      </c>
      <c r="AA213">
        <v>121.2</v>
      </c>
      <c r="AB213">
        <v>131.30000000000001</v>
      </c>
      <c r="AC213">
        <v>146.1</v>
      </c>
      <c r="AD213">
        <v>130.5</v>
      </c>
      <c r="AE213">
        <v>132.19999999999999</v>
      </c>
      <c r="AF213">
        <v>139</v>
      </c>
    </row>
    <row r="214" spans="1:32" x14ac:dyDescent="0.3">
      <c r="A214" t="s">
        <v>54</v>
      </c>
      <c r="B214">
        <v>2018</v>
      </c>
      <c r="C214" t="s">
        <v>65</v>
      </c>
      <c r="D214">
        <f t="shared" si="6"/>
        <v>136.59230769230771</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146.9</v>
      </c>
      <c r="W214">
        <v>145.1</v>
      </c>
      <c r="X214">
        <f t="shared" si="7"/>
        <v>137.48571428571427</v>
      </c>
      <c r="Y214">
        <v>142.19999999999999</v>
      </c>
      <c r="Z214">
        <v>142.1</v>
      </c>
      <c r="AA214">
        <v>125.5</v>
      </c>
      <c r="AB214">
        <v>136.5</v>
      </c>
      <c r="AC214">
        <v>147.80000000000001</v>
      </c>
      <c r="AD214">
        <v>132</v>
      </c>
      <c r="AE214">
        <v>136.30000000000001</v>
      </c>
      <c r="AF214">
        <v>140.80000000000001</v>
      </c>
    </row>
    <row r="215" spans="1:32" x14ac:dyDescent="0.3">
      <c r="A215" t="s">
        <v>50</v>
      </c>
      <c r="B215">
        <v>2018</v>
      </c>
      <c r="C215" t="s">
        <v>66</v>
      </c>
      <c r="D215">
        <f t="shared" si="6"/>
        <v>136.3923076923077</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f>AVERAGE(V213:V214)</f>
        <v>146.9</v>
      </c>
      <c r="W215">
        <v>149</v>
      </c>
      <c r="X215">
        <f t="shared" si="7"/>
        <v>143.02857142857141</v>
      </c>
      <c r="Y215">
        <v>149.5</v>
      </c>
      <c r="Z215">
        <v>149.6</v>
      </c>
      <c r="AA215">
        <v>128.9</v>
      </c>
      <c r="AB215">
        <v>143.30000000000001</v>
      </c>
      <c r="AC215">
        <v>155.1</v>
      </c>
      <c r="AD215">
        <v>133.19999999999999</v>
      </c>
      <c r="AE215">
        <v>141.6</v>
      </c>
      <c r="AF215">
        <v>141.9</v>
      </c>
    </row>
    <row r="216" spans="1:32" x14ac:dyDescent="0.3">
      <c r="A216" t="s">
        <v>53</v>
      </c>
      <c r="B216">
        <v>2018</v>
      </c>
      <c r="C216" t="s">
        <v>66</v>
      </c>
      <c r="D216">
        <f t="shared" si="6"/>
        <v>134.35384615384615</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146.5</v>
      </c>
      <c r="W216">
        <v>132.4</v>
      </c>
      <c r="X216">
        <f t="shared" si="7"/>
        <v>133.28571428571428</v>
      </c>
      <c r="Y216">
        <v>136.19999999999999</v>
      </c>
      <c r="Z216">
        <v>137.30000000000001</v>
      </c>
      <c r="AA216">
        <v>118.8</v>
      </c>
      <c r="AB216">
        <v>131.69999999999999</v>
      </c>
      <c r="AC216">
        <v>146.5</v>
      </c>
      <c r="AD216">
        <v>130.80000000000001</v>
      </c>
      <c r="AE216">
        <v>131.69999999999999</v>
      </c>
      <c r="AF216">
        <v>138</v>
      </c>
    </row>
    <row r="217" spans="1:32" x14ac:dyDescent="0.3">
      <c r="A217" t="s">
        <v>54</v>
      </c>
      <c r="B217">
        <v>2018</v>
      </c>
      <c r="C217" t="s">
        <v>66</v>
      </c>
      <c r="D217">
        <f t="shared" si="6"/>
        <v>135.59999999999997</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146.5</v>
      </c>
      <c r="W217">
        <v>142.69999999999999</v>
      </c>
      <c r="X217">
        <f t="shared" si="7"/>
        <v>138.22857142857143</v>
      </c>
      <c r="Y217">
        <v>143.19999999999999</v>
      </c>
      <c r="Z217">
        <v>144.9</v>
      </c>
      <c r="AA217">
        <v>123.6</v>
      </c>
      <c r="AB217">
        <v>136.80000000000001</v>
      </c>
      <c r="AC217">
        <v>150.1</v>
      </c>
      <c r="AD217">
        <v>132.19999999999999</v>
      </c>
      <c r="AE217">
        <v>136.80000000000001</v>
      </c>
      <c r="AF217">
        <v>140.1</v>
      </c>
    </row>
    <row r="218" spans="1:32" x14ac:dyDescent="0.3">
      <c r="A218" t="s">
        <v>50</v>
      </c>
      <c r="B218">
        <v>2019</v>
      </c>
      <c r="C218" t="s">
        <v>51</v>
      </c>
      <c r="D218">
        <f t="shared" si="6"/>
        <v>135.35384615384618</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f>AVERAGE(V216:V217)</f>
        <v>146.5</v>
      </c>
      <c r="W218">
        <v>146.19999999999999</v>
      </c>
      <c r="X218">
        <f t="shared" si="7"/>
        <v>143.08571428571426</v>
      </c>
      <c r="Y218">
        <v>150.1</v>
      </c>
      <c r="Z218">
        <v>149.6</v>
      </c>
      <c r="AA218">
        <v>128.6</v>
      </c>
      <c r="AB218">
        <v>142.9</v>
      </c>
      <c r="AC218">
        <v>155.19999999999999</v>
      </c>
      <c r="AD218">
        <v>133.5</v>
      </c>
      <c r="AE218">
        <v>141.69999999999999</v>
      </c>
      <c r="AF218">
        <v>141</v>
      </c>
    </row>
    <row r="219" spans="1:32" x14ac:dyDescent="0.3">
      <c r="A219" t="s">
        <v>53</v>
      </c>
      <c r="B219">
        <v>2019</v>
      </c>
      <c r="C219" t="s">
        <v>51</v>
      </c>
      <c r="D219">
        <f t="shared" si="6"/>
        <v>134.17692307692309</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147.69999999999999</v>
      </c>
      <c r="W219">
        <v>128.6</v>
      </c>
      <c r="X219">
        <f t="shared" si="7"/>
        <v>133.52857142857144</v>
      </c>
      <c r="Y219">
        <v>136.30000000000001</v>
      </c>
      <c r="Z219">
        <v>137.80000000000001</v>
      </c>
      <c r="AA219">
        <v>118.6</v>
      </c>
      <c r="AB219">
        <v>131.9</v>
      </c>
      <c r="AC219">
        <v>146.6</v>
      </c>
      <c r="AD219">
        <v>131.69999999999999</v>
      </c>
      <c r="AE219">
        <v>131.80000000000001</v>
      </c>
      <c r="AF219">
        <v>138</v>
      </c>
    </row>
    <row r="220" spans="1:32" x14ac:dyDescent="0.3">
      <c r="A220" t="s">
        <v>54</v>
      </c>
      <c r="B220">
        <v>2019</v>
      </c>
      <c r="C220" t="s">
        <v>51</v>
      </c>
      <c r="D220">
        <f t="shared" si="6"/>
        <v>134.87692307692308</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147.69999999999999</v>
      </c>
      <c r="W220">
        <v>139.5</v>
      </c>
      <c r="X220">
        <f t="shared" si="7"/>
        <v>138.37142857142857</v>
      </c>
      <c r="Y220">
        <v>143.6</v>
      </c>
      <c r="Z220">
        <v>145.1</v>
      </c>
      <c r="AA220">
        <v>123.3</v>
      </c>
      <c r="AB220">
        <v>136.69999999999999</v>
      </c>
      <c r="AC220">
        <v>150.19999999999999</v>
      </c>
      <c r="AD220">
        <v>132.80000000000001</v>
      </c>
      <c r="AE220">
        <v>136.9</v>
      </c>
      <c r="AF220">
        <v>139.6</v>
      </c>
    </row>
    <row r="221" spans="1:32" x14ac:dyDescent="0.3">
      <c r="A221" t="s">
        <v>50</v>
      </c>
      <c r="B221">
        <v>2019</v>
      </c>
      <c r="C221" t="s">
        <v>55</v>
      </c>
      <c r="D221">
        <f t="shared" si="6"/>
        <v>135.3692307692308</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f>AVERAGE(V219:V220)</f>
        <v>147.69999999999999</v>
      </c>
      <c r="W221">
        <v>145.30000000000001</v>
      </c>
      <c r="X221">
        <f t="shared" si="7"/>
        <v>143.6</v>
      </c>
      <c r="Y221">
        <v>150.1</v>
      </c>
      <c r="Z221">
        <v>149.9</v>
      </c>
      <c r="AA221">
        <v>129.19999999999999</v>
      </c>
      <c r="AB221">
        <v>143.4</v>
      </c>
      <c r="AC221">
        <v>155.5</v>
      </c>
      <c r="AD221">
        <v>134.9</v>
      </c>
      <c r="AE221">
        <v>142.19999999999999</v>
      </c>
      <c r="AF221">
        <v>141</v>
      </c>
    </row>
    <row r="222" spans="1:32" x14ac:dyDescent="0.3">
      <c r="A222" t="s">
        <v>53</v>
      </c>
      <c r="B222">
        <v>2019</v>
      </c>
      <c r="C222" t="s">
        <v>55</v>
      </c>
      <c r="D222">
        <f t="shared" si="6"/>
        <v>134.95384615384617</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148.5</v>
      </c>
      <c r="W222">
        <v>127.1</v>
      </c>
      <c r="X222">
        <f t="shared" si="7"/>
        <v>134.07142857142858</v>
      </c>
      <c r="Y222">
        <v>136.6</v>
      </c>
      <c r="Z222">
        <v>138.5</v>
      </c>
      <c r="AA222">
        <v>119.2</v>
      </c>
      <c r="AB222">
        <v>132.19999999999999</v>
      </c>
      <c r="AC222">
        <v>146.6</v>
      </c>
      <c r="AD222">
        <v>133</v>
      </c>
      <c r="AE222">
        <v>132.4</v>
      </c>
      <c r="AF222">
        <v>138.6</v>
      </c>
    </row>
    <row r="223" spans="1:32" x14ac:dyDescent="0.3">
      <c r="A223" t="s">
        <v>54</v>
      </c>
      <c r="B223">
        <v>2019</v>
      </c>
      <c r="C223" t="s">
        <v>55</v>
      </c>
      <c r="D223">
        <f t="shared" si="6"/>
        <v>135.16153846153844</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148.5</v>
      </c>
      <c r="W223">
        <v>138.4</v>
      </c>
      <c r="X223">
        <f t="shared" si="7"/>
        <v>138.87142857142857</v>
      </c>
      <c r="Y223">
        <v>143.69999999999999</v>
      </c>
      <c r="Z223">
        <v>145.6</v>
      </c>
      <c r="AA223">
        <v>123.9</v>
      </c>
      <c r="AB223">
        <v>137.1</v>
      </c>
      <c r="AC223">
        <v>150.30000000000001</v>
      </c>
      <c r="AD223">
        <v>134.1</v>
      </c>
      <c r="AE223">
        <v>137.4</v>
      </c>
      <c r="AF223">
        <v>139.9</v>
      </c>
    </row>
    <row r="224" spans="1:32" x14ac:dyDescent="0.3">
      <c r="A224" t="s">
        <v>50</v>
      </c>
      <c r="B224">
        <v>2019</v>
      </c>
      <c r="C224" t="s">
        <v>56</v>
      </c>
      <c r="D224">
        <f t="shared" si="6"/>
        <v>135.4769230769231</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f>AVERAGE(V222:V223)</f>
        <v>148.5</v>
      </c>
      <c r="W224">
        <v>146.4</v>
      </c>
      <c r="X224">
        <f t="shared" si="7"/>
        <v>143.71428571428569</v>
      </c>
      <c r="Y224">
        <v>150</v>
      </c>
      <c r="Z224">
        <v>150.4</v>
      </c>
      <c r="AA224">
        <v>129.9</v>
      </c>
      <c r="AB224">
        <v>143.80000000000001</v>
      </c>
      <c r="AC224">
        <v>155.5</v>
      </c>
      <c r="AD224">
        <v>134</v>
      </c>
      <c r="AE224">
        <v>142.4</v>
      </c>
      <c r="AF224">
        <v>141.19999999999999</v>
      </c>
    </row>
    <row r="225" spans="1:32" x14ac:dyDescent="0.3">
      <c r="A225" t="s">
        <v>53</v>
      </c>
      <c r="B225">
        <v>2019</v>
      </c>
      <c r="C225" t="s">
        <v>56</v>
      </c>
      <c r="D225">
        <f t="shared" si="6"/>
        <v>136.03076923076924</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149</v>
      </c>
      <c r="W225">
        <v>128.80000000000001</v>
      </c>
      <c r="X225">
        <f t="shared" si="7"/>
        <v>134.41428571428568</v>
      </c>
      <c r="Y225">
        <v>136.80000000000001</v>
      </c>
      <c r="Z225">
        <v>139.19999999999999</v>
      </c>
      <c r="AA225">
        <v>119.9</v>
      </c>
      <c r="AB225">
        <v>133</v>
      </c>
      <c r="AC225">
        <v>146.69999999999999</v>
      </c>
      <c r="AD225">
        <v>132.5</v>
      </c>
      <c r="AE225">
        <v>132.80000000000001</v>
      </c>
      <c r="AF225">
        <v>139.5</v>
      </c>
    </row>
    <row r="226" spans="1:32" x14ac:dyDescent="0.3">
      <c r="A226" t="s">
        <v>54</v>
      </c>
      <c r="B226">
        <v>2019</v>
      </c>
      <c r="C226" t="s">
        <v>56</v>
      </c>
      <c r="D226">
        <f t="shared" si="6"/>
        <v>135.6076923076923</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149</v>
      </c>
      <c r="W226">
        <v>139.69999999999999</v>
      </c>
      <c r="X226">
        <f t="shared" si="7"/>
        <v>139.09999999999997</v>
      </c>
      <c r="Y226">
        <v>143.80000000000001</v>
      </c>
      <c r="Z226">
        <v>146.19999999999999</v>
      </c>
      <c r="AA226">
        <v>124.6</v>
      </c>
      <c r="AB226">
        <v>137.69999999999999</v>
      </c>
      <c r="AC226">
        <v>150.30000000000001</v>
      </c>
      <c r="AD226">
        <v>133.4</v>
      </c>
      <c r="AE226">
        <v>137.69999999999999</v>
      </c>
      <c r="AF226">
        <v>140.4</v>
      </c>
    </row>
    <row r="227" spans="1:32" x14ac:dyDescent="0.3">
      <c r="A227" t="s">
        <v>50</v>
      </c>
      <c r="B227">
        <v>2019</v>
      </c>
      <c r="C227" t="s">
        <v>58</v>
      </c>
      <c r="D227">
        <f t="shared" si="6"/>
        <v>137.0846153846154</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f>AVERAGE(V225:V226)</f>
        <v>149</v>
      </c>
      <c r="W227">
        <v>146.9</v>
      </c>
      <c r="X227">
        <f t="shared" si="7"/>
        <v>144.34285714285713</v>
      </c>
      <c r="Y227">
        <v>149.5</v>
      </c>
      <c r="Z227">
        <v>151.30000000000001</v>
      </c>
      <c r="AA227">
        <v>130.19999999999999</v>
      </c>
      <c r="AB227">
        <v>145.9</v>
      </c>
      <c r="AC227">
        <v>156.69999999999999</v>
      </c>
      <c r="AD227">
        <v>133.9</v>
      </c>
      <c r="AE227">
        <v>142.9</v>
      </c>
      <c r="AF227">
        <v>142.4</v>
      </c>
    </row>
    <row r="228" spans="1:32" x14ac:dyDescent="0.3">
      <c r="A228" t="s">
        <v>53</v>
      </c>
      <c r="B228">
        <v>2019</v>
      </c>
      <c r="C228" t="s">
        <v>58</v>
      </c>
      <c r="D228">
        <f t="shared" si="6"/>
        <v>139.34615384615387</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150.1</v>
      </c>
      <c r="W228">
        <v>129.4</v>
      </c>
      <c r="X228">
        <f t="shared" si="7"/>
        <v>135</v>
      </c>
      <c r="Y228">
        <v>137.19999999999999</v>
      </c>
      <c r="Z228">
        <v>139.80000000000001</v>
      </c>
      <c r="AA228">
        <v>120.1</v>
      </c>
      <c r="AB228">
        <v>134</v>
      </c>
      <c r="AC228">
        <v>148</v>
      </c>
      <c r="AD228">
        <v>132.6</v>
      </c>
      <c r="AE228">
        <v>133.30000000000001</v>
      </c>
      <c r="AF228">
        <v>141.5</v>
      </c>
    </row>
    <row r="229" spans="1:32" x14ac:dyDescent="0.3">
      <c r="A229" t="s">
        <v>54</v>
      </c>
      <c r="B229">
        <v>2019</v>
      </c>
      <c r="C229" t="s">
        <v>58</v>
      </c>
      <c r="D229">
        <f t="shared" si="6"/>
        <v>137.83846153846156</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150.1</v>
      </c>
      <c r="W229">
        <v>140.30000000000001</v>
      </c>
      <c r="X229">
        <f t="shared" si="7"/>
        <v>139.70000000000002</v>
      </c>
      <c r="Y229">
        <v>143.69999999999999</v>
      </c>
      <c r="Z229">
        <v>146.9</v>
      </c>
      <c r="AA229">
        <v>124.9</v>
      </c>
      <c r="AB229">
        <v>139.19999999999999</v>
      </c>
      <c r="AC229">
        <v>151.6</v>
      </c>
      <c r="AD229">
        <v>133.4</v>
      </c>
      <c r="AE229">
        <v>138.19999999999999</v>
      </c>
      <c r="AF229">
        <v>142</v>
      </c>
    </row>
    <row r="230" spans="1:32" x14ac:dyDescent="0.3">
      <c r="A230" t="s">
        <v>50</v>
      </c>
      <c r="B230">
        <v>2019</v>
      </c>
      <c r="C230" t="s">
        <v>59</v>
      </c>
      <c r="D230">
        <f t="shared" si="6"/>
        <v>138.78461538461536</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f>AVERAGE(V228:V229)</f>
        <v>150.1</v>
      </c>
      <c r="W230">
        <v>147.80000000000001</v>
      </c>
      <c r="X230">
        <f t="shared" si="7"/>
        <v>144.81428571428569</v>
      </c>
      <c r="Y230">
        <v>149.6</v>
      </c>
      <c r="Z230">
        <v>151.69999999999999</v>
      </c>
      <c r="AA230">
        <v>130.19999999999999</v>
      </c>
      <c r="AB230">
        <v>146.4</v>
      </c>
      <c r="AC230">
        <v>157.69999999999999</v>
      </c>
      <c r="AD230">
        <v>134.80000000000001</v>
      </c>
      <c r="AE230">
        <v>143.30000000000001</v>
      </c>
      <c r="AF230">
        <v>143.6</v>
      </c>
    </row>
    <row r="231" spans="1:32" x14ac:dyDescent="0.3">
      <c r="A231" t="s">
        <v>53</v>
      </c>
      <c r="B231">
        <v>2019</v>
      </c>
      <c r="C231" t="s">
        <v>59</v>
      </c>
      <c r="D231">
        <f t="shared" si="6"/>
        <v>141.0230769230769</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149.4</v>
      </c>
      <c r="W231">
        <v>130.5</v>
      </c>
      <c r="X231">
        <f t="shared" si="7"/>
        <v>135.4</v>
      </c>
      <c r="Y231">
        <v>137.4</v>
      </c>
      <c r="Z231">
        <v>140.30000000000001</v>
      </c>
      <c r="AA231">
        <v>119.6</v>
      </c>
      <c r="AB231">
        <v>134.30000000000001</v>
      </c>
      <c r="AC231">
        <v>148.9</v>
      </c>
      <c r="AD231">
        <v>133.69999999999999</v>
      </c>
      <c r="AE231">
        <v>133.6</v>
      </c>
      <c r="AF231">
        <v>142.1</v>
      </c>
    </row>
    <row r="232" spans="1:32" x14ac:dyDescent="0.3">
      <c r="A232" t="s">
        <v>54</v>
      </c>
      <c r="B232">
        <v>2019</v>
      </c>
      <c r="C232" t="s">
        <v>59</v>
      </c>
      <c r="D232">
        <f t="shared" si="6"/>
        <v>139.54615384615386</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149.4</v>
      </c>
      <c r="W232">
        <v>141.19999999999999</v>
      </c>
      <c r="X232">
        <f t="shared" si="7"/>
        <v>140.11428571428573</v>
      </c>
      <c r="Y232">
        <v>143.80000000000001</v>
      </c>
      <c r="Z232">
        <v>147.4</v>
      </c>
      <c r="AA232">
        <v>124.6</v>
      </c>
      <c r="AB232">
        <v>139.6</v>
      </c>
      <c r="AC232">
        <v>152.5</v>
      </c>
      <c r="AD232">
        <v>134.30000000000001</v>
      </c>
      <c r="AE232">
        <v>138.6</v>
      </c>
      <c r="AF232">
        <v>142.9</v>
      </c>
    </row>
    <row r="233" spans="1:32" x14ac:dyDescent="0.3">
      <c r="A233" t="s">
        <v>50</v>
      </c>
      <c r="B233">
        <v>2019</v>
      </c>
      <c r="C233" t="s">
        <v>60</v>
      </c>
      <c r="D233">
        <f t="shared" si="6"/>
        <v>140.53076923076921</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f>AVERAGE(V231:V232)</f>
        <v>149.4</v>
      </c>
      <c r="W233">
        <v>146.80000000000001</v>
      </c>
      <c r="X233">
        <f t="shared" si="7"/>
        <v>145.75714285714284</v>
      </c>
      <c r="Y233">
        <v>150</v>
      </c>
      <c r="Z233">
        <v>152.19999999999999</v>
      </c>
      <c r="AA233">
        <v>131.19999999999999</v>
      </c>
      <c r="AB233">
        <v>147.5</v>
      </c>
      <c r="AC233">
        <v>159.1</v>
      </c>
      <c r="AD233">
        <v>136.1</v>
      </c>
      <c r="AE233">
        <v>144.19999999999999</v>
      </c>
      <c r="AF233">
        <v>144.9</v>
      </c>
    </row>
    <row r="234" spans="1:32" x14ac:dyDescent="0.3">
      <c r="A234" t="s">
        <v>53</v>
      </c>
      <c r="B234">
        <v>2019</v>
      </c>
      <c r="C234" t="s">
        <v>60</v>
      </c>
      <c r="D234">
        <f t="shared" si="6"/>
        <v>142.87692307692308</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150.6</v>
      </c>
      <c r="W234">
        <v>127</v>
      </c>
      <c r="X234">
        <f t="shared" si="7"/>
        <v>136.30000000000001</v>
      </c>
      <c r="Y234">
        <v>137.69999999999999</v>
      </c>
      <c r="Z234">
        <v>140.80000000000001</v>
      </c>
      <c r="AA234">
        <v>120.6</v>
      </c>
      <c r="AB234">
        <v>135</v>
      </c>
      <c r="AC234">
        <v>150.4</v>
      </c>
      <c r="AD234">
        <v>135.1</v>
      </c>
      <c r="AE234">
        <v>134.5</v>
      </c>
      <c r="AF234">
        <v>143.30000000000001</v>
      </c>
    </row>
    <row r="235" spans="1:32" x14ac:dyDescent="0.3">
      <c r="A235" t="s">
        <v>54</v>
      </c>
      <c r="B235">
        <v>2019</v>
      </c>
      <c r="C235" t="s">
        <v>60</v>
      </c>
      <c r="D235">
        <f t="shared" si="6"/>
        <v>141.34615384615384</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150.6</v>
      </c>
      <c r="W235">
        <v>139.30000000000001</v>
      </c>
      <c r="X235">
        <f t="shared" si="7"/>
        <v>141.05714285714288</v>
      </c>
      <c r="Y235">
        <v>144.19999999999999</v>
      </c>
      <c r="Z235">
        <v>147.9</v>
      </c>
      <c r="AA235">
        <v>125.6</v>
      </c>
      <c r="AB235">
        <v>140.5</v>
      </c>
      <c r="AC235">
        <v>154</v>
      </c>
      <c r="AD235">
        <v>135.69999999999999</v>
      </c>
      <c r="AE235">
        <v>139.5</v>
      </c>
      <c r="AF235">
        <v>144.19999999999999</v>
      </c>
    </row>
    <row r="236" spans="1:32" x14ac:dyDescent="0.3">
      <c r="A236" t="s">
        <v>50</v>
      </c>
      <c r="B236">
        <v>2019</v>
      </c>
      <c r="C236" t="s">
        <v>61</v>
      </c>
      <c r="D236">
        <f t="shared" si="6"/>
        <v>141.11538461538464</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f>AVERAGE(V234:V235)</f>
        <v>150.6</v>
      </c>
      <c r="W236">
        <v>146.4</v>
      </c>
      <c r="X236">
        <f t="shared" si="7"/>
        <v>146.52857142857144</v>
      </c>
      <c r="Y236">
        <v>150.19999999999999</v>
      </c>
      <c r="Z236">
        <v>152.69999999999999</v>
      </c>
      <c r="AA236">
        <v>131.4</v>
      </c>
      <c r="AB236">
        <v>148</v>
      </c>
      <c r="AC236">
        <v>159.69999999999999</v>
      </c>
      <c r="AD236">
        <v>138.80000000000001</v>
      </c>
      <c r="AE236">
        <v>144.9</v>
      </c>
      <c r="AF236">
        <v>145.69999999999999</v>
      </c>
    </row>
    <row r="237" spans="1:32" x14ac:dyDescent="0.3">
      <c r="A237" t="s">
        <v>53</v>
      </c>
      <c r="B237">
        <v>2019</v>
      </c>
      <c r="C237" t="s">
        <v>61</v>
      </c>
      <c r="D237">
        <f t="shared" si="6"/>
        <v>143.77692307692308</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151.6</v>
      </c>
      <c r="W237">
        <v>125.5</v>
      </c>
      <c r="X237">
        <f t="shared" si="7"/>
        <v>137.20000000000002</v>
      </c>
      <c r="Y237">
        <v>138.1</v>
      </c>
      <c r="Z237">
        <v>141.5</v>
      </c>
      <c r="AA237">
        <v>120.8</v>
      </c>
      <c r="AB237">
        <v>135.4</v>
      </c>
      <c r="AC237">
        <v>151.5</v>
      </c>
      <c r="AD237">
        <v>137.80000000000001</v>
      </c>
      <c r="AE237">
        <v>135.30000000000001</v>
      </c>
      <c r="AF237">
        <v>144.19999999999999</v>
      </c>
    </row>
    <row r="238" spans="1:32" x14ac:dyDescent="0.3">
      <c r="A238" t="s">
        <v>54</v>
      </c>
      <c r="B238">
        <v>2019</v>
      </c>
      <c r="C238" t="s">
        <v>61</v>
      </c>
      <c r="D238">
        <f t="shared" si="6"/>
        <v>142.03846153846155</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151.6</v>
      </c>
      <c r="W238">
        <v>138.5</v>
      </c>
      <c r="X238">
        <f t="shared" si="7"/>
        <v>141.8857142857143</v>
      </c>
      <c r="Y238">
        <v>144.5</v>
      </c>
      <c r="Z238">
        <v>148.5</v>
      </c>
      <c r="AA238">
        <v>125.8</v>
      </c>
      <c r="AB238">
        <v>140.9</v>
      </c>
      <c r="AC238">
        <v>154.9</v>
      </c>
      <c r="AD238">
        <v>138.4</v>
      </c>
      <c r="AE238">
        <v>140.19999999999999</v>
      </c>
      <c r="AF238">
        <v>145</v>
      </c>
    </row>
    <row r="239" spans="1:32" x14ac:dyDescent="0.3">
      <c r="A239" t="s">
        <v>50</v>
      </c>
      <c r="B239">
        <v>2019</v>
      </c>
      <c r="C239" t="s">
        <v>62</v>
      </c>
      <c r="D239">
        <f t="shared" si="6"/>
        <v>142.2076923076923</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f>AVERAGE(V237:V238)</f>
        <v>151.6</v>
      </c>
      <c r="W239">
        <v>146.9</v>
      </c>
      <c r="X239">
        <f t="shared" si="7"/>
        <v>147.05714285714291</v>
      </c>
      <c r="Y239">
        <v>150.30000000000001</v>
      </c>
      <c r="Z239">
        <v>153.4</v>
      </c>
      <c r="AA239">
        <v>131.6</v>
      </c>
      <c r="AB239">
        <v>148.30000000000001</v>
      </c>
      <c r="AC239">
        <v>160.19999999999999</v>
      </c>
      <c r="AD239">
        <v>140.19999999999999</v>
      </c>
      <c r="AE239">
        <v>145.4</v>
      </c>
      <c r="AF239">
        <v>146.69999999999999</v>
      </c>
    </row>
    <row r="240" spans="1:32" x14ac:dyDescent="0.3">
      <c r="A240" t="s">
        <v>53</v>
      </c>
      <c r="B240">
        <v>2019</v>
      </c>
      <c r="C240" t="s">
        <v>62</v>
      </c>
      <c r="D240">
        <f t="shared" si="6"/>
        <v>144.22307692307692</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152.19999999999999</v>
      </c>
      <c r="W240">
        <v>126.6</v>
      </c>
      <c r="X240">
        <f t="shared" si="7"/>
        <v>137.65714285714287</v>
      </c>
      <c r="Y240">
        <v>138.30000000000001</v>
      </c>
      <c r="Z240">
        <v>141.9</v>
      </c>
      <c r="AA240">
        <v>121.2</v>
      </c>
      <c r="AB240">
        <v>135.9</v>
      </c>
      <c r="AC240">
        <v>151.6</v>
      </c>
      <c r="AD240">
        <v>139</v>
      </c>
      <c r="AE240">
        <v>135.69999999999999</v>
      </c>
      <c r="AF240">
        <v>144.69999999999999</v>
      </c>
    </row>
    <row r="241" spans="1:32" x14ac:dyDescent="0.3">
      <c r="A241" t="s">
        <v>54</v>
      </c>
      <c r="B241">
        <v>2019</v>
      </c>
      <c r="C241" t="s">
        <v>62</v>
      </c>
      <c r="D241">
        <f t="shared" si="6"/>
        <v>142.89999999999998</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152.19999999999999</v>
      </c>
      <c r="W241">
        <v>139.19999999999999</v>
      </c>
      <c r="X241">
        <f t="shared" si="7"/>
        <v>142.37142857142859</v>
      </c>
      <c r="Y241">
        <v>144.6</v>
      </c>
      <c r="Z241">
        <v>149</v>
      </c>
      <c r="AA241">
        <v>126.1</v>
      </c>
      <c r="AB241">
        <v>141.30000000000001</v>
      </c>
      <c r="AC241">
        <v>155.19999999999999</v>
      </c>
      <c r="AD241">
        <v>139.69999999999999</v>
      </c>
      <c r="AE241">
        <v>140.69999999999999</v>
      </c>
      <c r="AF241">
        <v>145.80000000000001</v>
      </c>
    </row>
    <row r="242" spans="1:32" x14ac:dyDescent="0.3">
      <c r="A242" t="s">
        <v>50</v>
      </c>
      <c r="B242">
        <v>2019</v>
      </c>
      <c r="C242" t="s">
        <v>63</v>
      </c>
      <c r="D242">
        <f t="shared" si="6"/>
        <v>144.37692307692305</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f>AVERAGE(V240:V241)</f>
        <v>152.19999999999999</v>
      </c>
      <c r="W242">
        <v>147.69999999999999</v>
      </c>
      <c r="X242">
        <f t="shared" si="7"/>
        <v>147.34285714285713</v>
      </c>
      <c r="Y242">
        <v>150.6</v>
      </c>
      <c r="Z242">
        <v>153.69999999999999</v>
      </c>
      <c r="AA242">
        <v>131.69999999999999</v>
      </c>
      <c r="AB242">
        <v>148.69999999999999</v>
      </c>
      <c r="AC242">
        <v>160.69999999999999</v>
      </c>
      <c r="AD242">
        <v>140.30000000000001</v>
      </c>
      <c r="AE242">
        <v>145.69999999999999</v>
      </c>
      <c r="AF242">
        <v>148.30000000000001</v>
      </c>
    </row>
    <row r="243" spans="1:32" x14ac:dyDescent="0.3">
      <c r="A243" t="s">
        <v>53</v>
      </c>
      <c r="B243">
        <v>2019</v>
      </c>
      <c r="C243" t="s">
        <v>63</v>
      </c>
      <c r="D243">
        <f t="shared" si="6"/>
        <v>146.35384615384618</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153</v>
      </c>
      <c r="W243">
        <v>128.9</v>
      </c>
      <c r="X243">
        <f t="shared" si="7"/>
        <v>138</v>
      </c>
      <c r="Y243">
        <v>138.69999999999999</v>
      </c>
      <c r="Z243">
        <v>142.4</v>
      </c>
      <c r="AA243">
        <v>121.5</v>
      </c>
      <c r="AB243">
        <v>136.19999999999999</v>
      </c>
      <c r="AC243">
        <v>151.69999999999999</v>
      </c>
      <c r="AD243">
        <v>139.5</v>
      </c>
      <c r="AE243">
        <v>136</v>
      </c>
      <c r="AF243">
        <v>146</v>
      </c>
    </row>
    <row r="244" spans="1:32" x14ac:dyDescent="0.3">
      <c r="A244" t="s">
        <v>54</v>
      </c>
      <c r="B244">
        <v>2019</v>
      </c>
      <c r="C244" t="s">
        <v>63</v>
      </c>
      <c r="D244">
        <f t="shared" si="6"/>
        <v>145.04615384615383</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153</v>
      </c>
      <c r="W244">
        <v>140.6</v>
      </c>
      <c r="X244">
        <f t="shared" si="7"/>
        <v>142.68571428571428</v>
      </c>
      <c r="Y244">
        <v>145</v>
      </c>
      <c r="Z244">
        <v>149.4</v>
      </c>
      <c r="AA244">
        <v>126.3</v>
      </c>
      <c r="AB244">
        <v>141.69999999999999</v>
      </c>
      <c r="AC244">
        <v>155.4</v>
      </c>
      <c r="AD244">
        <v>140</v>
      </c>
      <c r="AE244">
        <v>141</v>
      </c>
      <c r="AF244">
        <v>147.19999999999999</v>
      </c>
    </row>
    <row r="245" spans="1:32" x14ac:dyDescent="0.3">
      <c r="A245" t="s">
        <v>50</v>
      </c>
      <c r="B245">
        <v>2019</v>
      </c>
      <c r="C245" t="s">
        <v>65</v>
      </c>
      <c r="D245">
        <f t="shared" si="6"/>
        <v>146.50769230769231</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f>AVERAGE(V243:V244)</f>
        <v>153</v>
      </c>
      <c r="W245">
        <v>148.4</v>
      </c>
      <c r="X245">
        <f t="shared" si="7"/>
        <v>147.70000000000002</v>
      </c>
      <c r="Y245">
        <v>150.9</v>
      </c>
      <c r="Z245">
        <v>154.30000000000001</v>
      </c>
      <c r="AA245">
        <v>132.1</v>
      </c>
      <c r="AB245">
        <v>149.1</v>
      </c>
      <c r="AC245">
        <v>160.80000000000001</v>
      </c>
      <c r="AD245">
        <v>140.6</v>
      </c>
      <c r="AE245">
        <v>146.1</v>
      </c>
      <c r="AF245">
        <v>149.9</v>
      </c>
    </row>
    <row r="246" spans="1:32" x14ac:dyDescent="0.3">
      <c r="A246" t="s">
        <v>53</v>
      </c>
      <c r="B246">
        <v>2019</v>
      </c>
      <c r="C246" t="s">
        <v>65</v>
      </c>
      <c r="D246">
        <f t="shared" si="6"/>
        <v>147.99999999999997</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153.5</v>
      </c>
      <c r="W246">
        <v>132.19999999999999</v>
      </c>
      <c r="X246">
        <f t="shared" si="7"/>
        <v>138.31428571428569</v>
      </c>
      <c r="Y246">
        <v>139.1</v>
      </c>
      <c r="Z246">
        <v>142.80000000000001</v>
      </c>
      <c r="AA246">
        <v>121.7</v>
      </c>
      <c r="AB246">
        <v>136.69999999999999</v>
      </c>
      <c r="AC246">
        <v>151.80000000000001</v>
      </c>
      <c r="AD246">
        <v>139.80000000000001</v>
      </c>
      <c r="AE246">
        <v>136.30000000000001</v>
      </c>
      <c r="AF246">
        <v>147</v>
      </c>
    </row>
    <row r="247" spans="1:32" x14ac:dyDescent="0.3">
      <c r="A247" t="s">
        <v>54</v>
      </c>
      <c r="B247">
        <v>2019</v>
      </c>
      <c r="C247" t="s">
        <v>65</v>
      </c>
      <c r="D247">
        <f t="shared" si="6"/>
        <v>146.99230769230769</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153.5</v>
      </c>
      <c r="W247">
        <v>142.30000000000001</v>
      </c>
      <c r="X247">
        <f t="shared" si="7"/>
        <v>143</v>
      </c>
      <c r="Y247">
        <v>145.30000000000001</v>
      </c>
      <c r="Z247">
        <v>149.9</v>
      </c>
      <c r="AA247">
        <v>126.6</v>
      </c>
      <c r="AB247">
        <v>142.1</v>
      </c>
      <c r="AC247">
        <v>155.5</v>
      </c>
      <c r="AD247">
        <v>140.30000000000001</v>
      </c>
      <c r="AE247">
        <v>141.30000000000001</v>
      </c>
      <c r="AF247">
        <v>148.6</v>
      </c>
    </row>
    <row r="248" spans="1:32" x14ac:dyDescent="0.3">
      <c r="A248" t="s">
        <v>50</v>
      </c>
      <c r="B248">
        <v>2019</v>
      </c>
      <c r="C248" t="s">
        <v>66</v>
      </c>
      <c r="D248">
        <f t="shared" si="6"/>
        <v>149.30769230769226</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f>AVERAGE(V246:V247)</f>
        <v>153.5</v>
      </c>
      <c r="W248">
        <v>149.9</v>
      </c>
      <c r="X248">
        <f t="shared" si="7"/>
        <v>148.47142857142856</v>
      </c>
      <c r="Y248">
        <v>151.19999999999999</v>
      </c>
      <c r="Z248">
        <v>154.80000000000001</v>
      </c>
      <c r="AA248">
        <v>135</v>
      </c>
      <c r="AB248">
        <v>149.5</v>
      </c>
      <c r="AC248">
        <v>161.1</v>
      </c>
      <c r="AD248">
        <v>140.6</v>
      </c>
      <c r="AE248">
        <v>147.1</v>
      </c>
      <c r="AF248">
        <v>152.30000000000001</v>
      </c>
    </row>
    <row r="249" spans="1:32" x14ac:dyDescent="0.3">
      <c r="A249" t="s">
        <v>53</v>
      </c>
      <c r="B249">
        <v>2019</v>
      </c>
      <c r="C249" t="s">
        <v>66</v>
      </c>
      <c r="D249">
        <f t="shared" si="6"/>
        <v>150.51538461538462</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152.80000000000001</v>
      </c>
      <c r="W249">
        <v>133.6</v>
      </c>
      <c r="X249">
        <f t="shared" si="7"/>
        <v>139.25714285714284</v>
      </c>
      <c r="Y249">
        <v>139.80000000000001</v>
      </c>
      <c r="Z249">
        <v>143.19999999999999</v>
      </c>
      <c r="AA249">
        <v>125.2</v>
      </c>
      <c r="AB249">
        <v>136.80000000000001</v>
      </c>
      <c r="AC249">
        <v>151.9</v>
      </c>
      <c r="AD249">
        <v>140.19999999999999</v>
      </c>
      <c r="AE249">
        <v>137.69999999999999</v>
      </c>
      <c r="AF249">
        <v>148.30000000000001</v>
      </c>
    </row>
    <row r="250" spans="1:32" x14ac:dyDescent="0.3">
      <c r="A250" t="s">
        <v>54</v>
      </c>
      <c r="B250">
        <v>2019</v>
      </c>
      <c r="C250" t="s">
        <v>66</v>
      </c>
      <c r="D250">
        <f t="shared" si="6"/>
        <v>149.70000000000002</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152.80000000000001</v>
      </c>
      <c r="W250">
        <v>143.69999999999999</v>
      </c>
      <c r="X250">
        <f t="shared" si="7"/>
        <v>143.84285714285713</v>
      </c>
      <c r="Y250">
        <v>145.80000000000001</v>
      </c>
      <c r="Z250">
        <v>150.4</v>
      </c>
      <c r="AA250">
        <v>129.80000000000001</v>
      </c>
      <c r="AB250">
        <v>142.30000000000001</v>
      </c>
      <c r="AC250">
        <v>155.69999999999999</v>
      </c>
      <c r="AD250">
        <v>140.4</v>
      </c>
      <c r="AE250">
        <v>142.5</v>
      </c>
      <c r="AF250">
        <v>150.4</v>
      </c>
    </row>
    <row r="251" spans="1:32" x14ac:dyDescent="0.3">
      <c r="A251" t="s">
        <v>50</v>
      </c>
      <c r="B251">
        <v>2020</v>
      </c>
      <c r="C251" t="s">
        <v>51</v>
      </c>
      <c r="D251">
        <f t="shared" si="6"/>
        <v>149.12307692307692</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f>AVERAGE(V249:V250)</f>
        <v>152.80000000000001</v>
      </c>
      <c r="W251">
        <v>150.4</v>
      </c>
      <c r="X251">
        <f t="shared" si="7"/>
        <v>149.44285714285712</v>
      </c>
      <c r="Y251">
        <v>151.69999999999999</v>
      </c>
      <c r="Z251">
        <v>155.69999999999999</v>
      </c>
      <c r="AA251">
        <v>136.30000000000001</v>
      </c>
      <c r="AB251">
        <v>150.1</v>
      </c>
      <c r="AC251">
        <v>161.69999999999999</v>
      </c>
      <c r="AD251">
        <v>142.5</v>
      </c>
      <c r="AE251">
        <v>148.1</v>
      </c>
      <c r="AF251">
        <v>151.9</v>
      </c>
    </row>
    <row r="252" spans="1:32" x14ac:dyDescent="0.3">
      <c r="A252" t="s">
        <v>53</v>
      </c>
      <c r="B252">
        <v>2020</v>
      </c>
      <c r="C252" t="s">
        <v>51</v>
      </c>
      <c r="D252">
        <f t="shared" si="6"/>
        <v>149.64615384615382</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153.9</v>
      </c>
      <c r="W252">
        <v>135.1</v>
      </c>
      <c r="X252">
        <f t="shared" si="7"/>
        <v>139.97142857142859</v>
      </c>
      <c r="Y252">
        <v>140.1</v>
      </c>
      <c r="Z252">
        <v>143.80000000000001</v>
      </c>
      <c r="AA252">
        <v>126.1</v>
      </c>
      <c r="AB252">
        <v>137.19999999999999</v>
      </c>
      <c r="AC252">
        <v>152.1</v>
      </c>
      <c r="AD252">
        <v>142.1</v>
      </c>
      <c r="AE252">
        <v>138.4</v>
      </c>
      <c r="AF252">
        <v>148.19999999999999</v>
      </c>
    </row>
    <row r="253" spans="1:32" x14ac:dyDescent="0.3">
      <c r="A253" t="s">
        <v>54</v>
      </c>
      <c r="B253">
        <v>2020</v>
      </c>
      <c r="C253" t="s">
        <v>51</v>
      </c>
      <c r="D253">
        <f t="shared" si="6"/>
        <v>149.26153846153846</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153.9</v>
      </c>
      <c r="W253">
        <v>144.6</v>
      </c>
      <c r="X253">
        <f t="shared" si="7"/>
        <v>144.69999999999999</v>
      </c>
      <c r="Y253">
        <v>146.19999999999999</v>
      </c>
      <c r="Z253">
        <v>151.19999999999999</v>
      </c>
      <c r="AA253">
        <v>130.9</v>
      </c>
      <c r="AB253">
        <v>142.80000000000001</v>
      </c>
      <c r="AC253">
        <v>156.1</v>
      </c>
      <c r="AD253">
        <v>142.30000000000001</v>
      </c>
      <c r="AE253">
        <v>143.4</v>
      </c>
      <c r="AF253">
        <v>150.19999999999999</v>
      </c>
    </row>
    <row r="254" spans="1:32" x14ac:dyDescent="0.3">
      <c r="A254" t="s">
        <v>50</v>
      </c>
      <c r="B254">
        <v>2020</v>
      </c>
      <c r="C254" t="s">
        <v>55</v>
      </c>
      <c r="D254">
        <f t="shared" si="6"/>
        <v>146.90769230769229</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f>AVERAGE(V252:V253)</f>
        <v>153.9</v>
      </c>
      <c r="W254">
        <v>152.30000000000001</v>
      </c>
      <c r="X254">
        <f t="shared" si="7"/>
        <v>149.72857142857143</v>
      </c>
      <c r="Y254">
        <v>151.80000000000001</v>
      </c>
      <c r="Z254">
        <v>156.19999999999999</v>
      </c>
      <c r="AA254">
        <v>136</v>
      </c>
      <c r="AB254">
        <v>150.4</v>
      </c>
      <c r="AC254">
        <v>161.9</v>
      </c>
      <c r="AD254">
        <v>143.4</v>
      </c>
      <c r="AE254">
        <v>148.4</v>
      </c>
      <c r="AF254">
        <v>150.4</v>
      </c>
    </row>
    <row r="255" spans="1:32" x14ac:dyDescent="0.3">
      <c r="A255" t="s">
        <v>53</v>
      </c>
      <c r="B255">
        <v>2020</v>
      </c>
      <c r="C255" t="s">
        <v>55</v>
      </c>
      <c r="D255">
        <f t="shared" si="6"/>
        <v>147.43076923076922</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154.80000000000001</v>
      </c>
      <c r="W255">
        <v>138.9</v>
      </c>
      <c r="X255">
        <f t="shared" si="7"/>
        <v>140.25714285714287</v>
      </c>
      <c r="Y255">
        <v>140.4</v>
      </c>
      <c r="Z255">
        <v>144.4</v>
      </c>
      <c r="AA255">
        <v>125.2</v>
      </c>
      <c r="AB255">
        <v>137.69999999999999</v>
      </c>
      <c r="AC255">
        <v>152.19999999999999</v>
      </c>
      <c r="AD255">
        <v>143.5</v>
      </c>
      <c r="AE255">
        <v>138.4</v>
      </c>
      <c r="AF255">
        <v>147.69999999999999</v>
      </c>
    </row>
    <row r="256" spans="1:32" x14ac:dyDescent="0.3">
      <c r="A256" t="s">
        <v>54</v>
      </c>
      <c r="B256">
        <v>2020</v>
      </c>
      <c r="C256" t="s">
        <v>55</v>
      </c>
      <c r="D256">
        <f t="shared" si="6"/>
        <v>147.04615384615383</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154.80000000000001</v>
      </c>
      <c r="W256">
        <v>147.19999999999999</v>
      </c>
      <c r="X256">
        <f t="shared" si="7"/>
        <v>144.97142857142856</v>
      </c>
      <c r="Y256">
        <v>146.4</v>
      </c>
      <c r="Z256">
        <v>151.69999999999999</v>
      </c>
      <c r="AA256">
        <v>130.30000000000001</v>
      </c>
      <c r="AB256">
        <v>143.19999999999999</v>
      </c>
      <c r="AC256">
        <v>156.19999999999999</v>
      </c>
      <c r="AD256">
        <v>143.4</v>
      </c>
      <c r="AE256">
        <v>143.6</v>
      </c>
      <c r="AF256">
        <v>149.1</v>
      </c>
    </row>
    <row r="257" spans="1:32" x14ac:dyDescent="0.3">
      <c r="A257" t="s">
        <v>50</v>
      </c>
      <c r="B257">
        <v>2020</v>
      </c>
      <c r="C257" t="s">
        <v>56</v>
      </c>
      <c r="D257">
        <f t="shared" si="6"/>
        <v>145.73846153846151</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f>AVERAGE(V255:V256)</f>
        <v>154.80000000000001</v>
      </c>
      <c r="W257">
        <v>153.4</v>
      </c>
      <c r="X257">
        <f t="shared" si="7"/>
        <v>150.01428571428573</v>
      </c>
      <c r="Y257">
        <v>151.5</v>
      </c>
      <c r="Z257">
        <v>156.69999999999999</v>
      </c>
      <c r="AA257">
        <v>135.80000000000001</v>
      </c>
      <c r="AB257">
        <v>151.19999999999999</v>
      </c>
      <c r="AC257">
        <v>161.19999999999999</v>
      </c>
      <c r="AD257">
        <v>145.1</v>
      </c>
      <c r="AE257">
        <v>148.6</v>
      </c>
      <c r="AF257">
        <v>149.80000000000001</v>
      </c>
    </row>
    <row r="258" spans="1:32" x14ac:dyDescent="0.3">
      <c r="A258" t="s">
        <v>53</v>
      </c>
      <c r="B258">
        <v>2020</v>
      </c>
      <c r="C258" t="s">
        <v>56</v>
      </c>
      <c r="D258">
        <f t="shared" si="6"/>
        <v>146.03846153846155</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154.5</v>
      </c>
      <c r="W258">
        <v>141.4</v>
      </c>
      <c r="X258">
        <f t="shared" si="7"/>
        <v>140.68571428571428</v>
      </c>
      <c r="Y258">
        <v>140.80000000000001</v>
      </c>
      <c r="Z258">
        <v>145</v>
      </c>
      <c r="AA258">
        <v>124.6</v>
      </c>
      <c r="AB258">
        <v>137.9</v>
      </c>
      <c r="AC258">
        <v>152.5</v>
      </c>
      <c r="AD258">
        <v>145.30000000000001</v>
      </c>
      <c r="AE258">
        <v>138.69999999999999</v>
      </c>
      <c r="AF258">
        <v>147.30000000000001</v>
      </c>
    </row>
    <row r="259" spans="1:32" x14ac:dyDescent="0.3">
      <c r="A259" t="s">
        <v>54</v>
      </c>
      <c r="B259">
        <v>2020</v>
      </c>
      <c r="C259" t="s">
        <v>56</v>
      </c>
      <c r="D259">
        <f t="shared" ref="D259:D322" si="8">AVERAGE(E259:Q259)</f>
        <v>145.80000000000001</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154.5</v>
      </c>
      <c r="W259">
        <v>148.9</v>
      </c>
      <c r="X259">
        <f t="shared" ref="X259:X322" si="9">AVERAGE(Y259:AE259)</f>
        <v>145.34285714285713</v>
      </c>
      <c r="Y259">
        <v>146.4</v>
      </c>
      <c r="Z259">
        <v>152.30000000000001</v>
      </c>
      <c r="AA259">
        <v>129.9</v>
      </c>
      <c r="AB259">
        <v>143.69999999999999</v>
      </c>
      <c r="AC259">
        <v>156.1</v>
      </c>
      <c r="AD259">
        <v>145.19999999999999</v>
      </c>
      <c r="AE259">
        <v>143.80000000000001</v>
      </c>
      <c r="AF259">
        <v>148.6</v>
      </c>
    </row>
    <row r="260" spans="1:32" x14ac:dyDescent="0.3">
      <c r="A260" t="s">
        <v>50</v>
      </c>
      <c r="B260">
        <v>2020</v>
      </c>
      <c r="C260" t="s">
        <v>59</v>
      </c>
      <c r="D260">
        <f t="shared" si="8"/>
        <v>150.07692307692307</v>
      </c>
      <c r="E260">
        <v>148.19999999999999</v>
      </c>
      <c r="F260">
        <v>190.3</v>
      </c>
      <c r="G260">
        <v>149.4</v>
      </c>
      <c r="H260">
        <v>153.30000000000001</v>
      </c>
      <c r="I260">
        <v>138.19999999999999</v>
      </c>
      <c r="J260">
        <v>143.19999999999999</v>
      </c>
      <c r="K260">
        <v>148.9</v>
      </c>
      <c r="L260">
        <v>150.30000000000001</v>
      </c>
      <c r="M260">
        <v>113.2</v>
      </c>
      <c r="N260">
        <v>159.80000000000001</v>
      </c>
      <c r="O260">
        <v>142.1</v>
      </c>
      <c r="P260">
        <v>161.80000000000001</v>
      </c>
      <c r="Q260">
        <v>152.30000000000001</v>
      </c>
      <c r="R260">
        <v>182.4</v>
      </c>
      <c r="S260">
        <v>154.69999999999999</v>
      </c>
      <c r="T260">
        <v>150</v>
      </c>
      <c r="U260">
        <v>154.1</v>
      </c>
      <c r="V260">
        <f>AVERAGE(V258:V259)</f>
        <v>154.5</v>
      </c>
      <c r="W260">
        <v>144.9</v>
      </c>
      <c r="X260">
        <f t="shared" si="9"/>
        <v>152.74285714285716</v>
      </c>
      <c r="Y260">
        <v>151.69999999999999</v>
      </c>
      <c r="Z260">
        <v>158.19999999999999</v>
      </c>
      <c r="AA260">
        <v>141.4</v>
      </c>
      <c r="AB260">
        <v>153.19999999999999</v>
      </c>
      <c r="AC260">
        <v>161.80000000000001</v>
      </c>
      <c r="AD260">
        <v>151.19999999999999</v>
      </c>
      <c r="AE260">
        <v>151.69999999999999</v>
      </c>
      <c r="AF260">
        <v>152.69999999999999</v>
      </c>
    </row>
    <row r="261" spans="1:32" x14ac:dyDescent="0.3">
      <c r="A261" t="s">
        <v>53</v>
      </c>
      <c r="B261">
        <v>2020</v>
      </c>
      <c r="C261" t="s">
        <v>59</v>
      </c>
      <c r="D261">
        <f t="shared" si="8"/>
        <v>153.46153846153845</v>
      </c>
      <c r="E261">
        <v>152.69999999999999</v>
      </c>
      <c r="F261">
        <v>197</v>
      </c>
      <c r="G261">
        <v>154.6</v>
      </c>
      <c r="H261">
        <v>153.4</v>
      </c>
      <c r="I261">
        <v>132.9</v>
      </c>
      <c r="J261">
        <v>151.80000000000001</v>
      </c>
      <c r="K261">
        <v>171.2</v>
      </c>
      <c r="L261">
        <v>152</v>
      </c>
      <c r="M261">
        <v>116.3</v>
      </c>
      <c r="N261">
        <v>158.80000000000001</v>
      </c>
      <c r="O261">
        <v>135.6</v>
      </c>
      <c r="P261">
        <v>161.69999999999999</v>
      </c>
      <c r="Q261">
        <v>157</v>
      </c>
      <c r="R261">
        <v>186.7</v>
      </c>
      <c r="S261">
        <v>149.1</v>
      </c>
      <c r="T261">
        <v>136.6</v>
      </c>
      <c r="U261">
        <v>147.19999999999999</v>
      </c>
      <c r="V261">
        <v>154.69999999999999</v>
      </c>
      <c r="W261">
        <v>137.1</v>
      </c>
      <c r="X261">
        <f t="shared" si="9"/>
        <v>144.14285714285714</v>
      </c>
      <c r="Y261">
        <v>140.4</v>
      </c>
      <c r="Z261">
        <v>148.1</v>
      </c>
      <c r="AA261">
        <v>129.30000000000001</v>
      </c>
      <c r="AB261">
        <v>144.5</v>
      </c>
      <c r="AC261">
        <v>152.5</v>
      </c>
      <c r="AD261">
        <v>152.19999999999999</v>
      </c>
      <c r="AE261">
        <v>142</v>
      </c>
      <c r="AF261">
        <v>150.80000000000001</v>
      </c>
    </row>
    <row r="262" spans="1:32" x14ac:dyDescent="0.3">
      <c r="A262" t="s">
        <v>54</v>
      </c>
      <c r="B262">
        <v>2020</v>
      </c>
      <c r="C262" t="s">
        <v>59</v>
      </c>
      <c r="D262">
        <f t="shared" si="8"/>
        <v>151.2923076923077</v>
      </c>
      <c r="E262">
        <v>149.6</v>
      </c>
      <c r="F262">
        <v>192.7</v>
      </c>
      <c r="G262">
        <v>151.4</v>
      </c>
      <c r="H262">
        <v>153.30000000000001</v>
      </c>
      <c r="I262">
        <v>136.30000000000001</v>
      </c>
      <c r="J262">
        <v>147.19999999999999</v>
      </c>
      <c r="K262">
        <v>156.5</v>
      </c>
      <c r="L262">
        <v>150.9</v>
      </c>
      <c r="M262">
        <v>114.2</v>
      </c>
      <c r="N262">
        <v>159.5</v>
      </c>
      <c r="O262">
        <v>139.4</v>
      </c>
      <c r="P262">
        <v>161.80000000000001</v>
      </c>
      <c r="Q262">
        <v>154</v>
      </c>
      <c r="R262">
        <v>183.5</v>
      </c>
      <c r="S262">
        <v>152.5</v>
      </c>
      <c r="T262">
        <v>144.4</v>
      </c>
      <c r="U262">
        <v>151.4</v>
      </c>
      <c r="V262">
        <v>154.69999999999999</v>
      </c>
      <c r="W262">
        <v>141.9</v>
      </c>
      <c r="X262">
        <f t="shared" si="9"/>
        <v>148.44285714285712</v>
      </c>
      <c r="Y262">
        <v>146.4</v>
      </c>
      <c r="Z262">
        <v>154.4</v>
      </c>
      <c r="AA262">
        <v>135</v>
      </c>
      <c r="AB262">
        <v>148.30000000000001</v>
      </c>
      <c r="AC262">
        <v>156.4</v>
      </c>
      <c r="AD262">
        <v>151.6</v>
      </c>
      <c r="AE262">
        <v>147</v>
      </c>
      <c r="AF262">
        <v>151.80000000000001</v>
      </c>
    </row>
    <row r="263" spans="1:32" x14ac:dyDescent="0.3">
      <c r="A263" t="s">
        <v>50</v>
      </c>
      <c r="B263">
        <v>2020</v>
      </c>
      <c r="C263" t="s">
        <v>60</v>
      </c>
      <c r="D263">
        <f t="shared" si="8"/>
        <v>150.07692307692307</v>
      </c>
      <c r="E263">
        <v>148.19999999999999</v>
      </c>
      <c r="F263">
        <v>190.3</v>
      </c>
      <c r="G263">
        <v>149.4</v>
      </c>
      <c r="H263">
        <v>153.30000000000001</v>
      </c>
      <c r="I263">
        <v>138.19999999999999</v>
      </c>
      <c r="J263">
        <v>143.19999999999999</v>
      </c>
      <c r="K263">
        <v>148.9</v>
      </c>
      <c r="L263">
        <v>150.30000000000001</v>
      </c>
      <c r="M263">
        <v>113.2</v>
      </c>
      <c r="N263">
        <v>159.80000000000001</v>
      </c>
      <c r="O263">
        <v>142.1</v>
      </c>
      <c r="P263">
        <v>161.80000000000001</v>
      </c>
      <c r="Q263">
        <v>152.30000000000001</v>
      </c>
      <c r="R263">
        <v>182.4</v>
      </c>
      <c r="S263">
        <v>154.69999999999999</v>
      </c>
      <c r="T263">
        <v>150</v>
      </c>
      <c r="U263">
        <v>154.1</v>
      </c>
      <c r="V263">
        <f>AVERAGE(V261:V262)</f>
        <v>154.69999999999999</v>
      </c>
      <c r="W263">
        <v>144.9</v>
      </c>
      <c r="X263">
        <f t="shared" si="9"/>
        <v>152.74285714285716</v>
      </c>
      <c r="Y263">
        <v>151.69999999999999</v>
      </c>
      <c r="Z263">
        <v>158.19999999999999</v>
      </c>
      <c r="AA263">
        <v>141.4</v>
      </c>
      <c r="AB263">
        <v>153.19999999999999</v>
      </c>
      <c r="AC263">
        <v>161.80000000000001</v>
      </c>
      <c r="AD263">
        <v>151.19999999999999</v>
      </c>
      <c r="AE263">
        <v>151.69999999999999</v>
      </c>
      <c r="AF263">
        <v>152.69999999999999</v>
      </c>
    </row>
    <row r="264" spans="1:32" x14ac:dyDescent="0.3">
      <c r="A264" t="s">
        <v>53</v>
      </c>
      <c r="B264">
        <v>2020</v>
      </c>
      <c r="C264" t="s">
        <v>60</v>
      </c>
      <c r="D264">
        <f t="shared" si="8"/>
        <v>153.46153846153845</v>
      </c>
      <c r="E264">
        <v>152.69999999999999</v>
      </c>
      <c r="F264">
        <v>197</v>
      </c>
      <c r="G264">
        <v>154.6</v>
      </c>
      <c r="H264">
        <v>153.4</v>
      </c>
      <c r="I264">
        <v>132.9</v>
      </c>
      <c r="J264">
        <v>151.80000000000001</v>
      </c>
      <c r="K264">
        <v>171.2</v>
      </c>
      <c r="L264">
        <v>152</v>
      </c>
      <c r="M264">
        <v>116.3</v>
      </c>
      <c r="N264">
        <v>158.80000000000001</v>
      </c>
      <c r="O264">
        <v>135.6</v>
      </c>
      <c r="P264">
        <v>161.69999999999999</v>
      </c>
      <c r="Q264">
        <v>157</v>
      </c>
      <c r="R264">
        <v>186.7</v>
      </c>
      <c r="S264">
        <v>149.1</v>
      </c>
      <c r="T264">
        <v>136.6</v>
      </c>
      <c r="U264">
        <v>147.19999999999999</v>
      </c>
      <c r="V264">
        <v>154.69999999999999</v>
      </c>
      <c r="W264">
        <v>137.1</v>
      </c>
      <c r="X264">
        <f t="shared" si="9"/>
        <v>144.14285714285714</v>
      </c>
      <c r="Y264">
        <v>140.4</v>
      </c>
      <c r="Z264">
        <v>148.1</v>
      </c>
      <c r="AA264">
        <v>129.30000000000001</v>
      </c>
      <c r="AB264">
        <v>144.5</v>
      </c>
      <c r="AC264">
        <v>152.5</v>
      </c>
      <c r="AD264">
        <v>152.19999999999999</v>
      </c>
      <c r="AE264">
        <v>142</v>
      </c>
      <c r="AF264">
        <v>150.80000000000001</v>
      </c>
    </row>
    <row r="265" spans="1:32" x14ac:dyDescent="0.3">
      <c r="A265" t="s">
        <v>54</v>
      </c>
      <c r="B265">
        <v>2020</v>
      </c>
      <c r="C265" t="s">
        <v>60</v>
      </c>
      <c r="D265">
        <f t="shared" si="8"/>
        <v>151.2923076923077</v>
      </c>
      <c r="E265">
        <v>149.6</v>
      </c>
      <c r="F265">
        <v>192.7</v>
      </c>
      <c r="G265">
        <v>151.4</v>
      </c>
      <c r="H265">
        <v>153.30000000000001</v>
      </c>
      <c r="I265">
        <v>136.30000000000001</v>
      </c>
      <c r="J265">
        <v>147.19999999999999</v>
      </c>
      <c r="K265">
        <v>156.5</v>
      </c>
      <c r="L265">
        <v>150.9</v>
      </c>
      <c r="M265">
        <v>114.2</v>
      </c>
      <c r="N265">
        <v>159.5</v>
      </c>
      <c r="O265">
        <v>139.4</v>
      </c>
      <c r="P265">
        <v>161.80000000000001</v>
      </c>
      <c r="Q265">
        <v>154</v>
      </c>
      <c r="R265">
        <v>183.5</v>
      </c>
      <c r="S265">
        <v>152.5</v>
      </c>
      <c r="T265">
        <v>144.4</v>
      </c>
      <c r="U265">
        <v>151.4</v>
      </c>
      <c r="V265">
        <v>154.69999999999999</v>
      </c>
      <c r="W265">
        <v>141.9</v>
      </c>
      <c r="X265">
        <f t="shared" si="9"/>
        <v>148.44285714285712</v>
      </c>
      <c r="Y265">
        <v>146.4</v>
      </c>
      <c r="Z265">
        <v>154.4</v>
      </c>
      <c r="AA265">
        <v>135</v>
      </c>
      <c r="AB265">
        <v>148.30000000000001</v>
      </c>
      <c r="AC265">
        <v>156.4</v>
      </c>
      <c r="AD265">
        <v>151.6</v>
      </c>
      <c r="AE265">
        <v>147</v>
      </c>
      <c r="AF265">
        <v>151.80000000000001</v>
      </c>
    </row>
    <row r="266" spans="1:32" x14ac:dyDescent="0.3">
      <c r="A266" t="s">
        <v>50</v>
      </c>
      <c r="B266">
        <v>2020</v>
      </c>
      <c r="C266" t="s">
        <v>61</v>
      </c>
      <c r="D266">
        <f t="shared" si="8"/>
        <v>152.19999999999999</v>
      </c>
      <c r="E266">
        <v>147.6</v>
      </c>
      <c r="F266">
        <v>187.2</v>
      </c>
      <c r="G266">
        <v>148.4</v>
      </c>
      <c r="H266">
        <v>153.30000000000001</v>
      </c>
      <c r="I266">
        <v>139.80000000000001</v>
      </c>
      <c r="J266">
        <v>146.9</v>
      </c>
      <c r="K266">
        <v>171</v>
      </c>
      <c r="L266">
        <v>149.9</v>
      </c>
      <c r="M266">
        <v>114.2</v>
      </c>
      <c r="N266">
        <v>160</v>
      </c>
      <c r="O266">
        <v>143.5</v>
      </c>
      <c r="P266">
        <v>161.5</v>
      </c>
      <c r="Q266">
        <v>155.30000000000001</v>
      </c>
      <c r="R266">
        <v>180.9</v>
      </c>
      <c r="S266">
        <v>155.1</v>
      </c>
      <c r="T266">
        <v>149.30000000000001</v>
      </c>
      <c r="U266">
        <v>154.30000000000001</v>
      </c>
      <c r="V266">
        <f>AVERAGE(V264:V265)</f>
        <v>154.69999999999999</v>
      </c>
      <c r="W266">
        <v>145.80000000000001</v>
      </c>
      <c r="X266">
        <f t="shared" si="9"/>
        <v>153.68571428571431</v>
      </c>
      <c r="Y266">
        <v>151.9</v>
      </c>
      <c r="Z266">
        <v>158.80000000000001</v>
      </c>
      <c r="AA266">
        <v>143.6</v>
      </c>
      <c r="AB266">
        <v>152.19999999999999</v>
      </c>
      <c r="AC266">
        <v>162.69999999999999</v>
      </c>
      <c r="AD266">
        <v>153.6</v>
      </c>
      <c r="AE266">
        <v>153</v>
      </c>
      <c r="AF266">
        <v>154.69999999999999</v>
      </c>
    </row>
    <row r="267" spans="1:32" x14ac:dyDescent="0.3">
      <c r="A267" t="s">
        <v>53</v>
      </c>
      <c r="B267">
        <v>2020</v>
      </c>
      <c r="C267" t="s">
        <v>61</v>
      </c>
      <c r="D267">
        <f t="shared" si="8"/>
        <v>155.76153846153846</v>
      </c>
      <c r="E267">
        <v>151.6</v>
      </c>
      <c r="F267">
        <v>197.8</v>
      </c>
      <c r="G267">
        <v>154.5</v>
      </c>
      <c r="H267">
        <v>153.4</v>
      </c>
      <c r="I267">
        <v>133.4</v>
      </c>
      <c r="J267">
        <v>154.5</v>
      </c>
      <c r="K267">
        <v>191.9</v>
      </c>
      <c r="L267">
        <v>151.30000000000001</v>
      </c>
      <c r="M267">
        <v>116.8</v>
      </c>
      <c r="N267">
        <v>160</v>
      </c>
      <c r="O267">
        <v>136.5</v>
      </c>
      <c r="P267">
        <v>163.30000000000001</v>
      </c>
      <c r="Q267">
        <v>159.9</v>
      </c>
      <c r="R267">
        <v>187.2</v>
      </c>
      <c r="S267">
        <v>150</v>
      </c>
      <c r="T267">
        <v>135.19999999999999</v>
      </c>
      <c r="U267">
        <v>147.80000000000001</v>
      </c>
      <c r="V267">
        <v>155.5</v>
      </c>
      <c r="W267">
        <v>138.30000000000001</v>
      </c>
      <c r="X267">
        <f t="shared" si="9"/>
        <v>146.25714285714284</v>
      </c>
      <c r="Y267">
        <v>144.5</v>
      </c>
      <c r="Z267">
        <v>148.69999999999999</v>
      </c>
      <c r="AA267">
        <v>133.9</v>
      </c>
      <c r="AB267">
        <v>141.19999999999999</v>
      </c>
      <c r="AC267">
        <v>155.5</v>
      </c>
      <c r="AD267">
        <v>155.19999999999999</v>
      </c>
      <c r="AE267">
        <v>144.80000000000001</v>
      </c>
      <c r="AF267">
        <v>152.9</v>
      </c>
    </row>
    <row r="268" spans="1:32" x14ac:dyDescent="0.3">
      <c r="A268" t="s">
        <v>54</v>
      </c>
      <c r="B268">
        <v>2020</v>
      </c>
      <c r="C268" t="s">
        <v>61</v>
      </c>
      <c r="D268">
        <f t="shared" si="8"/>
        <v>153.47692307692307</v>
      </c>
      <c r="E268">
        <v>148.9</v>
      </c>
      <c r="F268">
        <v>190.9</v>
      </c>
      <c r="G268">
        <v>150.80000000000001</v>
      </c>
      <c r="H268">
        <v>153.30000000000001</v>
      </c>
      <c r="I268">
        <v>137.4</v>
      </c>
      <c r="J268">
        <v>150.4</v>
      </c>
      <c r="K268">
        <v>178.1</v>
      </c>
      <c r="L268">
        <v>150.4</v>
      </c>
      <c r="M268">
        <v>115.1</v>
      </c>
      <c r="N268">
        <v>160</v>
      </c>
      <c r="O268">
        <v>140.6</v>
      </c>
      <c r="P268">
        <v>162.30000000000001</v>
      </c>
      <c r="Q268">
        <v>157</v>
      </c>
      <c r="R268">
        <v>182.6</v>
      </c>
      <c r="S268">
        <v>153.1</v>
      </c>
      <c r="T268">
        <v>143.4</v>
      </c>
      <c r="U268">
        <v>151.69999999999999</v>
      </c>
      <c r="V268">
        <v>155.5</v>
      </c>
      <c r="W268">
        <v>143</v>
      </c>
      <c r="X268">
        <f t="shared" si="9"/>
        <v>149.95714285714286</v>
      </c>
      <c r="Y268">
        <v>148.4</v>
      </c>
      <c r="Z268">
        <v>155</v>
      </c>
      <c r="AA268">
        <v>138.5</v>
      </c>
      <c r="AB268">
        <v>146</v>
      </c>
      <c r="AC268">
        <v>158.5</v>
      </c>
      <c r="AD268">
        <v>154.30000000000001</v>
      </c>
      <c r="AE268">
        <v>149</v>
      </c>
      <c r="AF268">
        <v>153.9</v>
      </c>
    </row>
    <row r="269" spans="1:32" x14ac:dyDescent="0.3">
      <c r="A269" t="s">
        <v>50</v>
      </c>
      <c r="B269">
        <v>2020</v>
      </c>
      <c r="C269" t="s">
        <v>62</v>
      </c>
      <c r="D269">
        <f t="shared" si="8"/>
        <v>152.87692307692308</v>
      </c>
      <c r="E269">
        <v>146.9</v>
      </c>
      <c r="F269">
        <v>183.9</v>
      </c>
      <c r="G269">
        <v>149.5</v>
      </c>
      <c r="H269">
        <v>153.4</v>
      </c>
      <c r="I269">
        <v>140.4</v>
      </c>
      <c r="J269">
        <v>147</v>
      </c>
      <c r="K269">
        <v>178.8</v>
      </c>
      <c r="L269">
        <v>149.30000000000001</v>
      </c>
      <c r="M269">
        <v>115.1</v>
      </c>
      <c r="N269">
        <v>160</v>
      </c>
      <c r="O269">
        <v>145.4</v>
      </c>
      <c r="P269">
        <v>161.6</v>
      </c>
      <c r="Q269">
        <v>156.1</v>
      </c>
      <c r="R269">
        <v>182.9</v>
      </c>
      <c r="S269">
        <v>155.4</v>
      </c>
      <c r="T269">
        <v>149.9</v>
      </c>
      <c r="U269">
        <v>154.6</v>
      </c>
      <c r="V269">
        <f>AVERAGE(V267:V268)</f>
        <v>155.5</v>
      </c>
      <c r="W269">
        <v>146.4</v>
      </c>
      <c r="X269">
        <f t="shared" si="9"/>
        <v>154.32857142857142</v>
      </c>
      <c r="Y269">
        <v>151.6</v>
      </c>
      <c r="Z269">
        <v>159.1</v>
      </c>
      <c r="AA269">
        <v>144.6</v>
      </c>
      <c r="AB269">
        <v>152.80000000000001</v>
      </c>
      <c r="AC269">
        <v>161.1</v>
      </c>
      <c r="AD269">
        <v>157.4</v>
      </c>
      <c r="AE269">
        <v>153.69999999999999</v>
      </c>
      <c r="AF269">
        <v>155.4</v>
      </c>
    </row>
    <row r="270" spans="1:32" x14ac:dyDescent="0.3">
      <c r="A270" t="s">
        <v>53</v>
      </c>
      <c r="B270">
        <v>2020</v>
      </c>
      <c r="C270" t="s">
        <v>62</v>
      </c>
      <c r="D270">
        <f t="shared" si="8"/>
        <v>157.04615384615386</v>
      </c>
      <c r="E270">
        <v>151.5</v>
      </c>
      <c r="F270">
        <v>193.1</v>
      </c>
      <c r="G270">
        <v>157.30000000000001</v>
      </c>
      <c r="H270">
        <v>153.9</v>
      </c>
      <c r="I270">
        <v>134.4</v>
      </c>
      <c r="J270">
        <v>155.4</v>
      </c>
      <c r="K270">
        <v>202</v>
      </c>
      <c r="L270">
        <v>150.80000000000001</v>
      </c>
      <c r="M270">
        <v>118.9</v>
      </c>
      <c r="N270">
        <v>160.9</v>
      </c>
      <c r="O270">
        <v>137.69999999999999</v>
      </c>
      <c r="P270">
        <v>164.4</v>
      </c>
      <c r="Q270">
        <v>161.30000000000001</v>
      </c>
      <c r="R270">
        <v>188.7</v>
      </c>
      <c r="S270">
        <v>150.19999999999999</v>
      </c>
      <c r="T270">
        <v>136.30000000000001</v>
      </c>
      <c r="U270">
        <v>148.1</v>
      </c>
      <c r="V270">
        <v>156.30000000000001</v>
      </c>
      <c r="W270">
        <v>137.19999999999999</v>
      </c>
      <c r="X270">
        <f t="shared" si="9"/>
        <v>147.57142857142858</v>
      </c>
      <c r="Y270">
        <v>145.4</v>
      </c>
      <c r="Z270">
        <v>150</v>
      </c>
      <c r="AA270">
        <v>135.1</v>
      </c>
      <c r="AB270">
        <v>141.80000000000001</v>
      </c>
      <c r="AC270">
        <v>154.9</v>
      </c>
      <c r="AD270">
        <v>159.80000000000001</v>
      </c>
      <c r="AE270">
        <v>146</v>
      </c>
      <c r="AF270">
        <v>154</v>
      </c>
    </row>
    <row r="271" spans="1:32" x14ac:dyDescent="0.3">
      <c r="A271" t="s">
        <v>54</v>
      </c>
      <c r="B271">
        <v>2020</v>
      </c>
      <c r="C271" t="s">
        <v>62</v>
      </c>
      <c r="D271">
        <f t="shared" si="8"/>
        <v>154.38461538461539</v>
      </c>
      <c r="E271">
        <v>148.4</v>
      </c>
      <c r="F271">
        <v>187.1</v>
      </c>
      <c r="G271">
        <v>152.5</v>
      </c>
      <c r="H271">
        <v>153.6</v>
      </c>
      <c r="I271">
        <v>138.19999999999999</v>
      </c>
      <c r="J271">
        <v>150.9</v>
      </c>
      <c r="K271">
        <v>186.7</v>
      </c>
      <c r="L271">
        <v>149.80000000000001</v>
      </c>
      <c r="M271">
        <v>116.4</v>
      </c>
      <c r="N271">
        <v>160.30000000000001</v>
      </c>
      <c r="O271">
        <v>142.19999999999999</v>
      </c>
      <c r="P271">
        <v>162.9</v>
      </c>
      <c r="Q271">
        <v>158</v>
      </c>
      <c r="R271">
        <v>184.4</v>
      </c>
      <c r="S271">
        <v>153.4</v>
      </c>
      <c r="T271">
        <v>144.30000000000001</v>
      </c>
      <c r="U271">
        <v>152</v>
      </c>
      <c r="V271">
        <v>156.30000000000001</v>
      </c>
      <c r="W271">
        <v>142.9</v>
      </c>
      <c r="X271">
        <f t="shared" si="9"/>
        <v>150.91428571428574</v>
      </c>
      <c r="Y271">
        <v>148.69999999999999</v>
      </c>
      <c r="Z271">
        <v>155.6</v>
      </c>
      <c r="AA271">
        <v>139.6</v>
      </c>
      <c r="AB271">
        <v>146.6</v>
      </c>
      <c r="AC271">
        <v>157.5</v>
      </c>
      <c r="AD271">
        <v>158.4</v>
      </c>
      <c r="AE271">
        <v>150</v>
      </c>
      <c r="AF271">
        <v>154.69999999999999</v>
      </c>
    </row>
    <row r="272" spans="1:32" x14ac:dyDescent="0.3">
      <c r="A272" t="s">
        <v>50</v>
      </c>
      <c r="B272">
        <v>2020</v>
      </c>
      <c r="C272" t="s">
        <v>63</v>
      </c>
      <c r="D272">
        <f t="shared" si="8"/>
        <v>156.22307692307692</v>
      </c>
      <c r="E272">
        <v>146</v>
      </c>
      <c r="F272">
        <v>186.3</v>
      </c>
      <c r="G272">
        <v>159.19999999999999</v>
      </c>
      <c r="H272">
        <v>153.6</v>
      </c>
      <c r="I272">
        <v>142.6</v>
      </c>
      <c r="J272">
        <v>147.19999999999999</v>
      </c>
      <c r="K272">
        <v>200.6</v>
      </c>
      <c r="L272">
        <v>150.30000000000001</v>
      </c>
      <c r="M272">
        <v>115.3</v>
      </c>
      <c r="N272">
        <v>160.9</v>
      </c>
      <c r="O272">
        <v>147.4</v>
      </c>
      <c r="P272">
        <v>161.9</v>
      </c>
      <c r="Q272">
        <v>159.6</v>
      </c>
      <c r="R272">
        <v>182.7</v>
      </c>
      <c r="S272">
        <v>155.69999999999999</v>
      </c>
      <c r="T272">
        <v>150.6</v>
      </c>
      <c r="U272">
        <v>155</v>
      </c>
      <c r="V272">
        <f>AVERAGE(V270:V271)</f>
        <v>156.30000000000001</v>
      </c>
      <c r="W272">
        <v>146.80000000000001</v>
      </c>
      <c r="X272">
        <f t="shared" si="9"/>
        <v>154.75714285714284</v>
      </c>
      <c r="Y272">
        <v>152</v>
      </c>
      <c r="Z272">
        <v>159.5</v>
      </c>
      <c r="AA272">
        <v>146.4</v>
      </c>
      <c r="AB272">
        <v>152.4</v>
      </c>
      <c r="AC272">
        <v>162.5</v>
      </c>
      <c r="AD272">
        <v>156.19999999999999</v>
      </c>
      <c r="AE272">
        <v>154.30000000000001</v>
      </c>
      <c r="AF272">
        <v>157.5</v>
      </c>
    </row>
    <row r="273" spans="1:32" x14ac:dyDescent="0.3">
      <c r="A273" t="s">
        <v>53</v>
      </c>
      <c r="B273">
        <v>2020</v>
      </c>
      <c r="C273" t="s">
        <v>63</v>
      </c>
      <c r="D273">
        <f t="shared" si="8"/>
        <v>160.01538461538459</v>
      </c>
      <c r="E273">
        <v>150.6</v>
      </c>
      <c r="F273">
        <v>193.7</v>
      </c>
      <c r="G273">
        <v>164.8</v>
      </c>
      <c r="H273">
        <v>153.69999999999999</v>
      </c>
      <c r="I273">
        <v>135.69999999999999</v>
      </c>
      <c r="J273">
        <v>155.69999999999999</v>
      </c>
      <c r="K273">
        <v>226</v>
      </c>
      <c r="L273">
        <v>152.19999999999999</v>
      </c>
      <c r="M273">
        <v>118.1</v>
      </c>
      <c r="N273">
        <v>161.30000000000001</v>
      </c>
      <c r="O273">
        <v>139.19999999999999</v>
      </c>
      <c r="P273">
        <v>164.8</v>
      </c>
      <c r="Q273">
        <v>164.4</v>
      </c>
      <c r="R273">
        <v>188.7</v>
      </c>
      <c r="S273">
        <v>150.5</v>
      </c>
      <c r="T273">
        <v>136.1</v>
      </c>
      <c r="U273">
        <v>148.30000000000001</v>
      </c>
      <c r="V273">
        <v>156.5</v>
      </c>
      <c r="W273">
        <v>137.1</v>
      </c>
      <c r="X273">
        <f t="shared" si="9"/>
        <v>147.64285714285714</v>
      </c>
      <c r="Y273">
        <v>145.1</v>
      </c>
      <c r="Z273">
        <v>151</v>
      </c>
      <c r="AA273">
        <v>135.4</v>
      </c>
      <c r="AB273">
        <v>142</v>
      </c>
      <c r="AC273">
        <v>155.69999999999999</v>
      </c>
      <c r="AD273">
        <v>158.1</v>
      </c>
      <c r="AE273">
        <v>146.19999999999999</v>
      </c>
      <c r="AF273">
        <v>155.19999999999999</v>
      </c>
    </row>
    <row r="274" spans="1:32" x14ac:dyDescent="0.3">
      <c r="A274" t="s">
        <v>54</v>
      </c>
      <c r="B274">
        <v>2020</v>
      </c>
      <c r="C274" t="s">
        <v>63</v>
      </c>
      <c r="D274">
        <f t="shared" si="8"/>
        <v>157.5846153846154</v>
      </c>
      <c r="E274">
        <v>147.5</v>
      </c>
      <c r="F274">
        <v>188.9</v>
      </c>
      <c r="G274">
        <v>161.4</v>
      </c>
      <c r="H274">
        <v>153.6</v>
      </c>
      <c r="I274">
        <v>140.1</v>
      </c>
      <c r="J274">
        <v>151.19999999999999</v>
      </c>
      <c r="K274">
        <v>209.2</v>
      </c>
      <c r="L274">
        <v>150.9</v>
      </c>
      <c r="M274">
        <v>116.2</v>
      </c>
      <c r="N274">
        <v>161</v>
      </c>
      <c r="O274">
        <v>144</v>
      </c>
      <c r="P274">
        <v>163.19999999999999</v>
      </c>
      <c r="Q274">
        <v>161.4</v>
      </c>
      <c r="R274">
        <v>184.3</v>
      </c>
      <c r="S274">
        <v>153.69999999999999</v>
      </c>
      <c r="T274">
        <v>144.6</v>
      </c>
      <c r="U274">
        <v>152.30000000000001</v>
      </c>
      <c r="V274">
        <v>156.5</v>
      </c>
      <c r="W274">
        <v>143.1</v>
      </c>
      <c r="X274">
        <f t="shared" si="9"/>
        <v>151.14285714285714</v>
      </c>
      <c r="Y274">
        <v>148.69999999999999</v>
      </c>
      <c r="Z274">
        <v>156.30000000000001</v>
      </c>
      <c r="AA274">
        <v>140.6</v>
      </c>
      <c r="AB274">
        <v>146.5</v>
      </c>
      <c r="AC274">
        <v>158.5</v>
      </c>
      <c r="AD274">
        <v>157</v>
      </c>
      <c r="AE274">
        <v>150.4</v>
      </c>
      <c r="AF274">
        <v>156.4</v>
      </c>
    </row>
    <row r="275" spans="1:32" x14ac:dyDescent="0.3">
      <c r="A275" t="s">
        <v>50</v>
      </c>
      <c r="B275">
        <v>2020</v>
      </c>
      <c r="C275" t="s">
        <v>65</v>
      </c>
      <c r="D275">
        <f t="shared" si="8"/>
        <v>160.1846153846154</v>
      </c>
      <c r="E275">
        <v>145.4</v>
      </c>
      <c r="F275">
        <v>188.6</v>
      </c>
      <c r="G275">
        <v>171.6</v>
      </c>
      <c r="H275">
        <v>153.80000000000001</v>
      </c>
      <c r="I275">
        <v>145.4</v>
      </c>
      <c r="J275">
        <v>146.5</v>
      </c>
      <c r="K275">
        <v>222.2</v>
      </c>
      <c r="L275">
        <v>155.9</v>
      </c>
      <c r="M275">
        <v>114.9</v>
      </c>
      <c r="N275">
        <v>162</v>
      </c>
      <c r="O275">
        <v>150</v>
      </c>
      <c r="P275">
        <v>162.69999999999999</v>
      </c>
      <c r="Q275">
        <v>163.4</v>
      </c>
      <c r="R275">
        <v>183.4</v>
      </c>
      <c r="S275">
        <v>156.30000000000001</v>
      </c>
      <c r="T275">
        <v>151</v>
      </c>
      <c r="U275">
        <v>155.5</v>
      </c>
      <c r="V275">
        <f>AVERAGE(V273:V274)</f>
        <v>156.5</v>
      </c>
      <c r="W275">
        <v>147.5</v>
      </c>
      <c r="X275">
        <f t="shared" si="9"/>
        <v>155.02857142857144</v>
      </c>
      <c r="Y275">
        <v>152.80000000000001</v>
      </c>
      <c r="Z275">
        <v>160.4</v>
      </c>
      <c r="AA275">
        <v>146.1</v>
      </c>
      <c r="AB275">
        <v>153.6</v>
      </c>
      <c r="AC275">
        <v>161.6</v>
      </c>
      <c r="AD275">
        <v>156.19999999999999</v>
      </c>
      <c r="AE275">
        <v>154.5</v>
      </c>
      <c r="AF275">
        <v>159.80000000000001</v>
      </c>
    </row>
    <row r="276" spans="1:32" x14ac:dyDescent="0.3">
      <c r="A276" t="s">
        <v>53</v>
      </c>
      <c r="B276">
        <v>2020</v>
      </c>
      <c r="C276" t="s">
        <v>65</v>
      </c>
      <c r="D276">
        <f t="shared" si="8"/>
        <v>163.1307692307692</v>
      </c>
      <c r="E276">
        <v>149.69999999999999</v>
      </c>
      <c r="F276">
        <v>195.5</v>
      </c>
      <c r="G276">
        <v>176.9</v>
      </c>
      <c r="H276">
        <v>153.9</v>
      </c>
      <c r="I276">
        <v>138</v>
      </c>
      <c r="J276">
        <v>150.5</v>
      </c>
      <c r="K276">
        <v>245.3</v>
      </c>
      <c r="L276">
        <v>158.69999999999999</v>
      </c>
      <c r="M276">
        <v>117.2</v>
      </c>
      <c r="N276">
        <v>161.4</v>
      </c>
      <c r="O276">
        <v>141.5</v>
      </c>
      <c r="P276">
        <v>165.1</v>
      </c>
      <c r="Q276">
        <v>167</v>
      </c>
      <c r="R276">
        <v>188.8</v>
      </c>
      <c r="S276">
        <v>151.1</v>
      </c>
      <c r="T276">
        <v>136.4</v>
      </c>
      <c r="U276">
        <v>148.80000000000001</v>
      </c>
      <c r="V276">
        <v>158</v>
      </c>
      <c r="W276">
        <v>137.30000000000001</v>
      </c>
      <c r="X276">
        <f t="shared" si="9"/>
        <v>148.22857142857143</v>
      </c>
      <c r="Y276">
        <v>145.1</v>
      </c>
      <c r="Z276">
        <v>152</v>
      </c>
      <c r="AA276">
        <v>135.19999999999999</v>
      </c>
      <c r="AB276">
        <v>144.4</v>
      </c>
      <c r="AC276">
        <v>156.4</v>
      </c>
      <c r="AD276">
        <v>157.9</v>
      </c>
      <c r="AE276">
        <v>146.6</v>
      </c>
      <c r="AF276">
        <v>156.69999999999999</v>
      </c>
    </row>
    <row r="277" spans="1:32" x14ac:dyDescent="0.3">
      <c r="A277" t="s">
        <v>54</v>
      </c>
      <c r="B277">
        <v>2020</v>
      </c>
      <c r="C277" t="s">
        <v>65</v>
      </c>
      <c r="D277">
        <f t="shared" si="8"/>
        <v>161.19999999999999</v>
      </c>
      <c r="E277">
        <v>146.80000000000001</v>
      </c>
      <c r="F277">
        <v>191</v>
      </c>
      <c r="G277">
        <v>173.6</v>
      </c>
      <c r="H277">
        <v>153.80000000000001</v>
      </c>
      <c r="I277">
        <v>142.69999999999999</v>
      </c>
      <c r="J277">
        <v>148.4</v>
      </c>
      <c r="K277">
        <v>230</v>
      </c>
      <c r="L277">
        <v>156.80000000000001</v>
      </c>
      <c r="M277">
        <v>115.7</v>
      </c>
      <c r="N277">
        <v>161.80000000000001</v>
      </c>
      <c r="O277">
        <v>146.5</v>
      </c>
      <c r="P277">
        <v>163.80000000000001</v>
      </c>
      <c r="Q277">
        <v>164.7</v>
      </c>
      <c r="R277">
        <v>184.8</v>
      </c>
      <c r="S277">
        <v>154.30000000000001</v>
      </c>
      <c r="T277">
        <v>144.9</v>
      </c>
      <c r="U277">
        <v>152.80000000000001</v>
      </c>
      <c r="V277">
        <v>158</v>
      </c>
      <c r="W277">
        <v>143.6</v>
      </c>
      <c r="X277">
        <f t="shared" si="9"/>
        <v>151.62857142857141</v>
      </c>
      <c r="Y277">
        <v>149.19999999999999</v>
      </c>
      <c r="Z277">
        <v>157.19999999999999</v>
      </c>
      <c r="AA277">
        <v>140.4</v>
      </c>
      <c r="AB277">
        <v>148.4</v>
      </c>
      <c r="AC277">
        <v>158.6</v>
      </c>
      <c r="AD277">
        <v>156.9</v>
      </c>
      <c r="AE277">
        <v>150.69999999999999</v>
      </c>
      <c r="AF277">
        <v>158.4</v>
      </c>
    </row>
    <row r="278" spans="1:32" x14ac:dyDescent="0.3">
      <c r="A278" t="s">
        <v>50</v>
      </c>
      <c r="B278">
        <v>2020</v>
      </c>
      <c r="C278" t="s">
        <v>66</v>
      </c>
      <c r="D278">
        <f t="shared" si="8"/>
        <v>161.57692307692307</v>
      </c>
      <c r="E278">
        <v>144.6</v>
      </c>
      <c r="F278">
        <v>188.5</v>
      </c>
      <c r="G278">
        <v>173.4</v>
      </c>
      <c r="H278">
        <v>154</v>
      </c>
      <c r="I278">
        <v>150</v>
      </c>
      <c r="J278">
        <v>145.9</v>
      </c>
      <c r="K278">
        <v>225.2</v>
      </c>
      <c r="L278">
        <v>159.5</v>
      </c>
      <c r="M278">
        <v>114.4</v>
      </c>
      <c r="N278">
        <v>163.5</v>
      </c>
      <c r="O278">
        <v>153.4</v>
      </c>
      <c r="P278">
        <v>163.6</v>
      </c>
      <c r="Q278">
        <v>164.5</v>
      </c>
      <c r="R278">
        <v>183.6</v>
      </c>
      <c r="S278">
        <v>157</v>
      </c>
      <c r="T278">
        <v>151.6</v>
      </c>
      <c r="U278">
        <v>156.30000000000001</v>
      </c>
      <c r="V278">
        <f>AVERAGE(V276:V277)</f>
        <v>158</v>
      </c>
      <c r="W278">
        <v>148.69999999999999</v>
      </c>
      <c r="X278">
        <f t="shared" si="9"/>
        <v>155.71428571428572</v>
      </c>
      <c r="Y278">
        <v>153.4</v>
      </c>
      <c r="Z278">
        <v>161.6</v>
      </c>
      <c r="AA278">
        <v>146.4</v>
      </c>
      <c r="AB278">
        <v>153.9</v>
      </c>
      <c r="AC278">
        <v>162.9</v>
      </c>
      <c r="AD278">
        <v>156.6</v>
      </c>
      <c r="AE278">
        <v>155.19999999999999</v>
      </c>
      <c r="AF278">
        <v>160.69999999999999</v>
      </c>
    </row>
    <row r="279" spans="1:32" x14ac:dyDescent="0.3">
      <c r="A279" t="s">
        <v>53</v>
      </c>
      <c r="B279">
        <v>2020</v>
      </c>
      <c r="C279" t="s">
        <v>66</v>
      </c>
      <c r="D279">
        <f t="shared" si="8"/>
        <v>163.49230769230769</v>
      </c>
      <c r="E279">
        <v>149</v>
      </c>
      <c r="F279">
        <v>195.7</v>
      </c>
      <c r="G279">
        <v>178.3</v>
      </c>
      <c r="H279">
        <v>154.19999999999999</v>
      </c>
      <c r="I279">
        <v>140.69999999999999</v>
      </c>
      <c r="J279">
        <v>149.69999999999999</v>
      </c>
      <c r="K279">
        <v>240.9</v>
      </c>
      <c r="L279">
        <v>161.5</v>
      </c>
      <c r="M279">
        <v>117.1</v>
      </c>
      <c r="N279">
        <v>161.9</v>
      </c>
      <c r="O279">
        <v>143.30000000000001</v>
      </c>
      <c r="P279">
        <v>166.1</v>
      </c>
      <c r="Q279">
        <v>167</v>
      </c>
      <c r="R279">
        <v>190.2</v>
      </c>
      <c r="S279">
        <v>151.9</v>
      </c>
      <c r="T279">
        <v>136.69999999999999</v>
      </c>
      <c r="U279">
        <v>149.6</v>
      </c>
      <c r="V279">
        <v>158.4</v>
      </c>
      <c r="W279">
        <v>137.9</v>
      </c>
      <c r="X279">
        <f t="shared" si="9"/>
        <v>148.55714285714288</v>
      </c>
      <c r="Y279">
        <v>145.5</v>
      </c>
      <c r="Z279">
        <v>152.9</v>
      </c>
      <c r="AA279">
        <v>135.5</v>
      </c>
      <c r="AB279">
        <v>144.30000000000001</v>
      </c>
      <c r="AC279">
        <v>156.9</v>
      </c>
      <c r="AD279">
        <v>157.9</v>
      </c>
      <c r="AE279">
        <v>146.9</v>
      </c>
      <c r="AF279">
        <v>156.9</v>
      </c>
    </row>
    <row r="280" spans="1:32" x14ac:dyDescent="0.3">
      <c r="A280" t="s">
        <v>54</v>
      </c>
      <c r="B280">
        <v>2020</v>
      </c>
      <c r="C280" t="s">
        <v>66</v>
      </c>
      <c r="D280">
        <f t="shared" si="8"/>
        <v>162.23846153846154</v>
      </c>
      <c r="E280">
        <v>146</v>
      </c>
      <c r="F280">
        <v>191</v>
      </c>
      <c r="G280">
        <v>175.3</v>
      </c>
      <c r="H280">
        <v>154.1</v>
      </c>
      <c r="I280">
        <v>146.6</v>
      </c>
      <c r="J280">
        <v>147.69999999999999</v>
      </c>
      <c r="K280">
        <v>230.5</v>
      </c>
      <c r="L280">
        <v>160.19999999999999</v>
      </c>
      <c r="M280">
        <v>115.3</v>
      </c>
      <c r="N280">
        <v>163</v>
      </c>
      <c r="O280">
        <v>149.19999999999999</v>
      </c>
      <c r="P280">
        <v>164.8</v>
      </c>
      <c r="Q280">
        <v>165.4</v>
      </c>
      <c r="R280">
        <v>185.4</v>
      </c>
      <c r="S280">
        <v>155</v>
      </c>
      <c r="T280">
        <v>145.4</v>
      </c>
      <c r="U280">
        <v>153.6</v>
      </c>
      <c r="V280">
        <v>158.4</v>
      </c>
      <c r="W280">
        <v>144.6</v>
      </c>
      <c r="X280">
        <f t="shared" si="9"/>
        <v>152.12857142857143</v>
      </c>
      <c r="Y280">
        <v>149.69999999999999</v>
      </c>
      <c r="Z280">
        <v>158.30000000000001</v>
      </c>
      <c r="AA280">
        <v>140.69999999999999</v>
      </c>
      <c r="AB280">
        <v>148.5</v>
      </c>
      <c r="AC280">
        <v>159.4</v>
      </c>
      <c r="AD280">
        <v>157.1</v>
      </c>
      <c r="AE280">
        <v>151.19999999999999</v>
      </c>
      <c r="AF280">
        <v>158.9</v>
      </c>
    </row>
    <row r="281" spans="1:32" x14ac:dyDescent="0.3">
      <c r="A281" t="s">
        <v>50</v>
      </c>
      <c r="B281">
        <v>2021</v>
      </c>
      <c r="C281" t="s">
        <v>51</v>
      </c>
      <c r="D281">
        <f t="shared" si="8"/>
        <v>158.89999999999998</v>
      </c>
      <c r="E281">
        <v>143.4</v>
      </c>
      <c r="F281">
        <v>187.5</v>
      </c>
      <c r="G281">
        <v>173.4</v>
      </c>
      <c r="H281">
        <v>154</v>
      </c>
      <c r="I281">
        <v>154.80000000000001</v>
      </c>
      <c r="J281">
        <v>147</v>
      </c>
      <c r="K281">
        <v>187.8</v>
      </c>
      <c r="L281">
        <v>159.5</v>
      </c>
      <c r="M281">
        <v>113.8</v>
      </c>
      <c r="N281">
        <v>164.5</v>
      </c>
      <c r="O281">
        <v>156.1</v>
      </c>
      <c r="P281">
        <v>164.3</v>
      </c>
      <c r="Q281">
        <v>159.6</v>
      </c>
      <c r="R281">
        <v>184.6</v>
      </c>
      <c r="S281">
        <v>157.5</v>
      </c>
      <c r="T281">
        <v>152.4</v>
      </c>
      <c r="U281">
        <v>156.80000000000001</v>
      </c>
      <c r="V281">
        <f>AVERAGE(V279:V280)</f>
        <v>158.4</v>
      </c>
      <c r="W281">
        <v>150.9</v>
      </c>
      <c r="X281">
        <f t="shared" si="9"/>
        <v>156.37142857142859</v>
      </c>
      <c r="Y281">
        <v>153.9</v>
      </c>
      <c r="Z281">
        <v>162.5</v>
      </c>
      <c r="AA281">
        <v>147.5</v>
      </c>
      <c r="AB281">
        <v>155.1</v>
      </c>
      <c r="AC281">
        <v>163.5</v>
      </c>
      <c r="AD281">
        <v>156.19999999999999</v>
      </c>
      <c r="AE281">
        <v>155.9</v>
      </c>
      <c r="AF281">
        <v>158.5</v>
      </c>
    </row>
    <row r="282" spans="1:32" x14ac:dyDescent="0.3">
      <c r="A282" t="s">
        <v>53</v>
      </c>
      <c r="B282">
        <v>2021</v>
      </c>
      <c r="C282" t="s">
        <v>51</v>
      </c>
      <c r="D282">
        <f t="shared" si="8"/>
        <v>161.30769230769232</v>
      </c>
      <c r="E282">
        <v>148</v>
      </c>
      <c r="F282">
        <v>194.8</v>
      </c>
      <c r="G282">
        <v>178.4</v>
      </c>
      <c r="H282">
        <v>154.4</v>
      </c>
      <c r="I282">
        <v>144.1</v>
      </c>
      <c r="J282">
        <v>152.6</v>
      </c>
      <c r="K282">
        <v>206.8</v>
      </c>
      <c r="L282">
        <v>162.1</v>
      </c>
      <c r="M282">
        <v>116.3</v>
      </c>
      <c r="N282">
        <v>163</v>
      </c>
      <c r="O282">
        <v>145.9</v>
      </c>
      <c r="P282">
        <v>167.2</v>
      </c>
      <c r="Q282">
        <v>163.4</v>
      </c>
      <c r="R282">
        <v>191.8</v>
      </c>
      <c r="S282">
        <v>152.5</v>
      </c>
      <c r="T282">
        <v>137.30000000000001</v>
      </c>
      <c r="U282">
        <v>150.19999999999999</v>
      </c>
      <c r="V282">
        <v>157.69999999999999</v>
      </c>
      <c r="W282">
        <v>142.9</v>
      </c>
      <c r="X282">
        <f t="shared" si="9"/>
        <v>149.07142857142853</v>
      </c>
      <c r="Y282">
        <v>145.69999999999999</v>
      </c>
      <c r="Z282">
        <v>154.1</v>
      </c>
      <c r="AA282">
        <v>136.9</v>
      </c>
      <c r="AB282">
        <v>145.4</v>
      </c>
      <c r="AC282">
        <v>156.1</v>
      </c>
      <c r="AD282">
        <v>157.69999999999999</v>
      </c>
      <c r="AE282">
        <v>147.6</v>
      </c>
      <c r="AF282">
        <v>156</v>
      </c>
    </row>
    <row r="283" spans="1:32" x14ac:dyDescent="0.3">
      <c r="A283" t="s">
        <v>54</v>
      </c>
      <c r="B283">
        <v>2021</v>
      </c>
      <c r="C283" t="s">
        <v>51</v>
      </c>
      <c r="D283">
        <f t="shared" si="8"/>
        <v>159.73076923076923</v>
      </c>
      <c r="E283">
        <v>144.9</v>
      </c>
      <c r="F283">
        <v>190.1</v>
      </c>
      <c r="G283">
        <v>175.3</v>
      </c>
      <c r="H283">
        <v>154.1</v>
      </c>
      <c r="I283">
        <v>150.9</v>
      </c>
      <c r="J283">
        <v>149.6</v>
      </c>
      <c r="K283">
        <v>194.2</v>
      </c>
      <c r="L283">
        <v>160.4</v>
      </c>
      <c r="M283">
        <v>114.6</v>
      </c>
      <c r="N283">
        <v>164</v>
      </c>
      <c r="O283">
        <v>151.80000000000001</v>
      </c>
      <c r="P283">
        <v>165.6</v>
      </c>
      <c r="Q283">
        <v>161</v>
      </c>
      <c r="R283">
        <v>186.5</v>
      </c>
      <c r="S283">
        <v>155.5</v>
      </c>
      <c r="T283">
        <v>146.1</v>
      </c>
      <c r="U283">
        <v>154.19999999999999</v>
      </c>
      <c r="V283">
        <v>157.69999999999999</v>
      </c>
      <c r="W283">
        <v>147.9</v>
      </c>
      <c r="X283">
        <f t="shared" si="9"/>
        <v>152.67142857142858</v>
      </c>
      <c r="Y283">
        <v>150</v>
      </c>
      <c r="Z283">
        <v>159.30000000000001</v>
      </c>
      <c r="AA283">
        <v>141.9</v>
      </c>
      <c r="AB283">
        <v>149.6</v>
      </c>
      <c r="AC283">
        <v>159.19999999999999</v>
      </c>
      <c r="AD283">
        <v>156.80000000000001</v>
      </c>
      <c r="AE283">
        <v>151.9</v>
      </c>
      <c r="AF283">
        <v>157.30000000000001</v>
      </c>
    </row>
    <row r="284" spans="1:32" x14ac:dyDescent="0.3">
      <c r="A284" t="s">
        <v>50</v>
      </c>
      <c r="B284">
        <v>2021</v>
      </c>
      <c r="C284" t="s">
        <v>55</v>
      </c>
      <c r="D284">
        <f t="shared" si="8"/>
        <v>155.7923076923077</v>
      </c>
      <c r="E284">
        <v>142.80000000000001</v>
      </c>
      <c r="F284">
        <v>184</v>
      </c>
      <c r="G284">
        <v>168</v>
      </c>
      <c r="H284">
        <v>154.4</v>
      </c>
      <c r="I284">
        <v>163</v>
      </c>
      <c r="J284">
        <v>147.80000000000001</v>
      </c>
      <c r="K284">
        <v>149.69999999999999</v>
      </c>
      <c r="L284">
        <v>158.30000000000001</v>
      </c>
      <c r="M284">
        <v>111.8</v>
      </c>
      <c r="N284">
        <v>165</v>
      </c>
      <c r="O284">
        <v>160</v>
      </c>
      <c r="P284">
        <v>165.8</v>
      </c>
      <c r="Q284">
        <v>154.69999999999999</v>
      </c>
      <c r="R284">
        <v>186.5</v>
      </c>
      <c r="S284">
        <v>159.1</v>
      </c>
      <c r="T284">
        <v>153.9</v>
      </c>
      <c r="U284">
        <v>158.4</v>
      </c>
      <c r="V284">
        <f>AVERAGE(V282:V283)</f>
        <v>157.69999999999999</v>
      </c>
      <c r="W284">
        <v>154.4</v>
      </c>
      <c r="X284">
        <f t="shared" si="9"/>
        <v>157.47142857142856</v>
      </c>
      <c r="Y284">
        <v>154.80000000000001</v>
      </c>
      <c r="Z284">
        <v>164.3</v>
      </c>
      <c r="AA284">
        <v>150.19999999999999</v>
      </c>
      <c r="AB284">
        <v>157</v>
      </c>
      <c r="AC284">
        <v>163.6</v>
      </c>
      <c r="AD284">
        <v>155.19999999999999</v>
      </c>
      <c r="AE284">
        <v>157.19999999999999</v>
      </c>
      <c r="AF284">
        <v>156.69999999999999</v>
      </c>
    </row>
    <row r="285" spans="1:32" x14ac:dyDescent="0.3">
      <c r="A285" t="s">
        <v>53</v>
      </c>
      <c r="B285">
        <v>2021</v>
      </c>
      <c r="C285" t="s">
        <v>55</v>
      </c>
      <c r="D285">
        <f t="shared" si="8"/>
        <v>158.92307692307693</v>
      </c>
      <c r="E285">
        <v>147.6</v>
      </c>
      <c r="F285">
        <v>191.2</v>
      </c>
      <c r="G285">
        <v>169.9</v>
      </c>
      <c r="H285">
        <v>155.1</v>
      </c>
      <c r="I285">
        <v>151.4</v>
      </c>
      <c r="J285">
        <v>154</v>
      </c>
      <c r="K285">
        <v>180.2</v>
      </c>
      <c r="L285">
        <v>159.80000000000001</v>
      </c>
      <c r="M285">
        <v>114.9</v>
      </c>
      <c r="N285">
        <v>162.5</v>
      </c>
      <c r="O285">
        <v>149.19999999999999</v>
      </c>
      <c r="P285">
        <v>169.4</v>
      </c>
      <c r="Q285">
        <v>160.80000000000001</v>
      </c>
      <c r="R285">
        <v>193.3</v>
      </c>
      <c r="S285">
        <v>154.19999999999999</v>
      </c>
      <c r="T285">
        <v>138.19999999999999</v>
      </c>
      <c r="U285">
        <v>151.80000000000001</v>
      </c>
      <c r="V285">
        <v>159.80000000000001</v>
      </c>
      <c r="W285">
        <v>149.1</v>
      </c>
      <c r="X285">
        <f t="shared" si="9"/>
        <v>150.45714285714286</v>
      </c>
      <c r="Y285">
        <v>146.5</v>
      </c>
      <c r="Z285">
        <v>156.30000000000001</v>
      </c>
      <c r="AA285">
        <v>140.5</v>
      </c>
      <c r="AB285">
        <v>147.30000000000001</v>
      </c>
      <c r="AC285">
        <v>156.6</v>
      </c>
      <c r="AD285">
        <v>156.69999999999999</v>
      </c>
      <c r="AE285">
        <v>149.30000000000001</v>
      </c>
      <c r="AF285">
        <v>156.5</v>
      </c>
    </row>
    <row r="286" spans="1:32" x14ac:dyDescent="0.3">
      <c r="A286" t="s">
        <v>54</v>
      </c>
      <c r="B286">
        <v>2021</v>
      </c>
      <c r="C286" t="s">
        <v>55</v>
      </c>
      <c r="D286">
        <f t="shared" si="8"/>
        <v>156.8692307692308</v>
      </c>
      <c r="E286">
        <v>144.30000000000001</v>
      </c>
      <c r="F286">
        <v>186.5</v>
      </c>
      <c r="G286">
        <v>168.7</v>
      </c>
      <c r="H286">
        <v>154.69999999999999</v>
      </c>
      <c r="I286">
        <v>158.69999999999999</v>
      </c>
      <c r="J286">
        <v>150.69999999999999</v>
      </c>
      <c r="K286">
        <v>160</v>
      </c>
      <c r="L286">
        <v>158.80000000000001</v>
      </c>
      <c r="M286">
        <v>112.8</v>
      </c>
      <c r="N286">
        <v>164.2</v>
      </c>
      <c r="O286">
        <v>155.5</v>
      </c>
      <c r="P286">
        <v>167.5</v>
      </c>
      <c r="Q286">
        <v>156.9</v>
      </c>
      <c r="R286">
        <v>188.3</v>
      </c>
      <c r="S286">
        <v>157.19999999999999</v>
      </c>
      <c r="T286">
        <v>147.4</v>
      </c>
      <c r="U286">
        <v>155.80000000000001</v>
      </c>
      <c r="V286">
        <v>159.80000000000001</v>
      </c>
      <c r="W286">
        <v>152.4</v>
      </c>
      <c r="X286">
        <f t="shared" si="9"/>
        <v>153.92857142857147</v>
      </c>
      <c r="Y286">
        <v>150.9</v>
      </c>
      <c r="Z286">
        <v>161.30000000000001</v>
      </c>
      <c r="AA286">
        <v>145.1</v>
      </c>
      <c r="AB286">
        <v>151.5</v>
      </c>
      <c r="AC286">
        <v>159.5</v>
      </c>
      <c r="AD286">
        <v>155.80000000000001</v>
      </c>
      <c r="AE286">
        <v>153.4</v>
      </c>
      <c r="AF286">
        <v>156.6</v>
      </c>
    </row>
    <row r="287" spans="1:32" x14ac:dyDescent="0.3">
      <c r="A287" t="s">
        <v>50</v>
      </c>
      <c r="B287">
        <v>2021</v>
      </c>
      <c r="C287" t="s">
        <v>56</v>
      </c>
      <c r="D287">
        <f t="shared" si="8"/>
        <v>155.82307692307694</v>
      </c>
      <c r="E287">
        <v>142.5</v>
      </c>
      <c r="F287">
        <v>189.4</v>
      </c>
      <c r="G287">
        <v>163.19999999999999</v>
      </c>
      <c r="H287">
        <v>154.5</v>
      </c>
      <c r="I287">
        <v>168.2</v>
      </c>
      <c r="J287">
        <v>150.5</v>
      </c>
      <c r="K287">
        <v>141</v>
      </c>
      <c r="L287">
        <v>159.19999999999999</v>
      </c>
      <c r="M287">
        <v>111.7</v>
      </c>
      <c r="N287">
        <v>164</v>
      </c>
      <c r="O287">
        <v>160.6</v>
      </c>
      <c r="P287">
        <v>166.4</v>
      </c>
      <c r="Q287">
        <v>154.5</v>
      </c>
      <c r="R287">
        <v>186.1</v>
      </c>
      <c r="S287">
        <v>159.6</v>
      </c>
      <c r="T287">
        <v>154.4</v>
      </c>
      <c r="U287">
        <v>158.9</v>
      </c>
      <c r="V287">
        <f>AVERAGE(V285:V286)</f>
        <v>159.80000000000001</v>
      </c>
      <c r="W287">
        <v>156</v>
      </c>
      <c r="X287">
        <f t="shared" si="9"/>
        <v>157.52857142857144</v>
      </c>
      <c r="Y287">
        <v>154.80000000000001</v>
      </c>
      <c r="Z287">
        <v>164.6</v>
      </c>
      <c r="AA287">
        <v>151.30000000000001</v>
      </c>
      <c r="AB287">
        <v>157.80000000000001</v>
      </c>
      <c r="AC287">
        <v>163.80000000000001</v>
      </c>
      <c r="AD287">
        <v>153.1</v>
      </c>
      <c r="AE287">
        <v>157.30000000000001</v>
      </c>
      <c r="AF287">
        <v>156.69999999999999</v>
      </c>
    </row>
    <row r="288" spans="1:32" x14ac:dyDescent="0.3">
      <c r="A288" t="s">
        <v>53</v>
      </c>
      <c r="B288">
        <v>2021</v>
      </c>
      <c r="C288" t="s">
        <v>56</v>
      </c>
      <c r="D288">
        <f t="shared" si="8"/>
        <v>158.80769230769226</v>
      </c>
      <c r="E288">
        <v>147.5</v>
      </c>
      <c r="F288">
        <v>197.5</v>
      </c>
      <c r="G288">
        <v>164.7</v>
      </c>
      <c r="H288">
        <v>155.6</v>
      </c>
      <c r="I288">
        <v>156.4</v>
      </c>
      <c r="J288">
        <v>157.30000000000001</v>
      </c>
      <c r="K288">
        <v>166.1</v>
      </c>
      <c r="L288">
        <v>161.1</v>
      </c>
      <c r="M288">
        <v>114.3</v>
      </c>
      <c r="N288">
        <v>162.6</v>
      </c>
      <c r="O288">
        <v>150.69999999999999</v>
      </c>
      <c r="P288">
        <v>170.3</v>
      </c>
      <c r="Q288">
        <v>160.4</v>
      </c>
      <c r="R288">
        <v>193.5</v>
      </c>
      <c r="S288">
        <v>155.1</v>
      </c>
      <c r="T288">
        <v>138.69999999999999</v>
      </c>
      <c r="U288">
        <v>152.6</v>
      </c>
      <c r="V288">
        <v>159.9</v>
      </c>
      <c r="W288">
        <v>154.80000000000001</v>
      </c>
      <c r="X288">
        <f t="shared" si="9"/>
        <v>150.98571428571429</v>
      </c>
      <c r="Y288">
        <v>147.19999999999999</v>
      </c>
      <c r="Z288">
        <v>156.9</v>
      </c>
      <c r="AA288">
        <v>141.69999999999999</v>
      </c>
      <c r="AB288">
        <v>148.6</v>
      </c>
      <c r="AC288">
        <v>157.6</v>
      </c>
      <c r="AD288">
        <v>154.9</v>
      </c>
      <c r="AE288">
        <v>150</v>
      </c>
      <c r="AF288">
        <v>156.9</v>
      </c>
    </row>
    <row r="289" spans="1:32" x14ac:dyDescent="0.3">
      <c r="A289" t="s">
        <v>54</v>
      </c>
      <c r="B289">
        <v>2021</v>
      </c>
      <c r="C289" t="s">
        <v>56</v>
      </c>
      <c r="D289">
        <f t="shared" si="8"/>
        <v>156.87692307692308</v>
      </c>
      <c r="E289">
        <v>144.1</v>
      </c>
      <c r="F289">
        <v>192.2</v>
      </c>
      <c r="G289">
        <v>163.80000000000001</v>
      </c>
      <c r="H289">
        <v>154.9</v>
      </c>
      <c r="I289">
        <v>163.9</v>
      </c>
      <c r="J289">
        <v>153.69999999999999</v>
      </c>
      <c r="K289">
        <v>149.5</v>
      </c>
      <c r="L289">
        <v>159.80000000000001</v>
      </c>
      <c r="M289">
        <v>112.6</v>
      </c>
      <c r="N289">
        <v>163.5</v>
      </c>
      <c r="O289">
        <v>156.5</v>
      </c>
      <c r="P289">
        <v>168.2</v>
      </c>
      <c r="Q289">
        <v>156.69999999999999</v>
      </c>
      <c r="R289">
        <v>188.1</v>
      </c>
      <c r="S289">
        <v>157.80000000000001</v>
      </c>
      <c r="T289">
        <v>147.9</v>
      </c>
      <c r="U289">
        <v>156.4</v>
      </c>
      <c r="V289">
        <v>159.9</v>
      </c>
      <c r="W289">
        <v>155.5</v>
      </c>
      <c r="X289">
        <f t="shared" si="9"/>
        <v>154.21428571428569</v>
      </c>
      <c r="Y289">
        <v>151.19999999999999</v>
      </c>
      <c r="Z289">
        <v>161.69999999999999</v>
      </c>
      <c r="AA289">
        <v>146.19999999999999</v>
      </c>
      <c r="AB289">
        <v>152.6</v>
      </c>
      <c r="AC289">
        <v>160.19999999999999</v>
      </c>
      <c r="AD289">
        <v>153.80000000000001</v>
      </c>
      <c r="AE289">
        <v>153.80000000000001</v>
      </c>
      <c r="AF289">
        <v>156.80000000000001</v>
      </c>
    </row>
    <row r="290" spans="1:32" x14ac:dyDescent="0.3">
      <c r="A290" t="s">
        <v>50</v>
      </c>
      <c r="B290">
        <v>2021</v>
      </c>
      <c r="C290" t="s">
        <v>57</v>
      </c>
      <c r="D290">
        <f t="shared" si="8"/>
        <v>157.65384615384616</v>
      </c>
      <c r="E290">
        <v>142.69999999999999</v>
      </c>
      <c r="F290">
        <v>195.5</v>
      </c>
      <c r="G290">
        <v>163.4</v>
      </c>
      <c r="H290">
        <v>155</v>
      </c>
      <c r="I290">
        <v>175.2</v>
      </c>
      <c r="J290">
        <v>160.6</v>
      </c>
      <c r="K290">
        <v>135.1</v>
      </c>
      <c r="L290">
        <v>161.1</v>
      </c>
      <c r="M290">
        <v>112.2</v>
      </c>
      <c r="N290">
        <v>164.4</v>
      </c>
      <c r="O290">
        <v>161.9</v>
      </c>
      <c r="P290">
        <v>166.8</v>
      </c>
      <c r="Q290">
        <v>155.6</v>
      </c>
      <c r="R290">
        <v>186.8</v>
      </c>
      <c r="S290">
        <v>160.69999999999999</v>
      </c>
      <c r="T290">
        <v>155.1</v>
      </c>
      <c r="U290">
        <v>159.9</v>
      </c>
      <c r="V290">
        <f>AVERAGE(V288:V289)</f>
        <v>159.9</v>
      </c>
      <c r="W290">
        <v>156</v>
      </c>
      <c r="X290">
        <f t="shared" si="9"/>
        <v>158.2571428571429</v>
      </c>
      <c r="Y290">
        <v>155.5</v>
      </c>
      <c r="Z290">
        <v>165.3</v>
      </c>
      <c r="AA290">
        <v>151.69999999999999</v>
      </c>
      <c r="AB290">
        <v>158.6</v>
      </c>
      <c r="AC290">
        <v>164.1</v>
      </c>
      <c r="AD290">
        <v>154.6</v>
      </c>
      <c r="AE290">
        <v>158</v>
      </c>
      <c r="AF290">
        <v>157.6</v>
      </c>
    </row>
    <row r="291" spans="1:32" x14ac:dyDescent="0.3">
      <c r="A291" t="s">
        <v>53</v>
      </c>
      <c r="B291">
        <v>2021</v>
      </c>
      <c r="C291" t="s">
        <v>57</v>
      </c>
      <c r="D291">
        <f t="shared" si="8"/>
        <v>160.73846153846154</v>
      </c>
      <c r="E291">
        <v>147.6</v>
      </c>
      <c r="F291">
        <v>202.5</v>
      </c>
      <c r="G291">
        <v>166.4</v>
      </c>
      <c r="H291">
        <v>156</v>
      </c>
      <c r="I291">
        <v>161.4</v>
      </c>
      <c r="J291">
        <v>168.8</v>
      </c>
      <c r="K291">
        <v>161.6</v>
      </c>
      <c r="L291">
        <v>162.80000000000001</v>
      </c>
      <c r="M291">
        <v>114.8</v>
      </c>
      <c r="N291">
        <v>162.80000000000001</v>
      </c>
      <c r="O291">
        <v>151.5</v>
      </c>
      <c r="P291">
        <v>171.4</v>
      </c>
      <c r="Q291">
        <v>162</v>
      </c>
      <c r="R291">
        <v>194.4</v>
      </c>
      <c r="S291">
        <v>155.9</v>
      </c>
      <c r="T291">
        <v>139.30000000000001</v>
      </c>
      <c r="U291">
        <v>153.4</v>
      </c>
      <c r="V291">
        <v>161.4</v>
      </c>
      <c r="W291">
        <v>154.9</v>
      </c>
      <c r="X291">
        <f t="shared" si="9"/>
        <v>151.57142857142858</v>
      </c>
      <c r="Y291">
        <v>147.6</v>
      </c>
      <c r="Z291">
        <v>157.5</v>
      </c>
      <c r="AA291">
        <v>142.1</v>
      </c>
      <c r="AB291">
        <v>149.1</v>
      </c>
      <c r="AC291">
        <v>157.6</v>
      </c>
      <c r="AD291">
        <v>156.6</v>
      </c>
      <c r="AE291">
        <v>150.5</v>
      </c>
      <c r="AF291">
        <v>158</v>
      </c>
    </row>
    <row r="292" spans="1:32" x14ac:dyDescent="0.3">
      <c r="A292" t="s">
        <v>54</v>
      </c>
      <c r="B292">
        <v>2021</v>
      </c>
      <c r="C292" t="s">
        <v>57</v>
      </c>
      <c r="D292">
        <f t="shared" si="8"/>
        <v>158.77692307692308</v>
      </c>
      <c r="E292">
        <v>144.30000000000001</v>
      </c>
      <c r="F292">
        <v>198</v>
      </c>
      <c r="G292">
        <v>164.6</v>
      </c>
      <c r="H292">
        <v>155.4</v>
      </c>
      <c r="I292">
        <v>170.1</v>
      </c>
      <c r="J292">
        <v>164.4</v>
      </c>
      <c r="K292">
        <v>144.1</v>
      </c>
      <c r="L292">
        <v>161.69999999999999</v>
      </c>
      <c r="M292">
        <v>113.1</v>
      </c>
      <c r="N292">
        <v>163.9</v>
      </c>
      <c r="O292">
        <v>157.6</v>
      </c>
      <c r="P292">
        <v>168.9</v>
      </c>
      <c r="Q292">
        <v>158</v>
      </c>
      <c r="R292">
        <v>188.8</v>
      </c>
      <c r="S292">
        <v>158.80000000000001</v>
      </c>
      <c r="T292">
        <v>148.5</v>
      </c>
      <c r="U292">
        <v>157.30000000000001</v>
      </c>
      <c r="V292">
        <v>161.4</v>
      </c>
      <c r="W292">
        <v>155.6</v>
      </c>
      <c r="X292">
        <f t="shared" si="9"/>
        <v>154.85714285714286</v>
      </c>
      <c r="Y292">
        <v>151.80000000000001</v>
      </c>
      <c r="Z292">
        <v>162.30000000000001</v>
      </c>
      <c r="AA292">
        <v>146.6</v>
      </c>
      <c r="AB292">
        <v>153.19999999999999</v>
      </c>
      <c r="AC292">
        <v>160.30000000000001</v>
      </c>
      <c r="AD292">
        <v>155.4</v>
      </c>
      <c r="AE292">
        <v>154.4</v>
      </c>
      <c r="AF292">
        <v>157.80000000000001</v>
      </c>
    </row>
    <row r="293" spans="1:32" x14ac:dyDescent="0.3">
      <c r="A293" t="s">
        <v>50</v>
      </c>
      <c r="B293">
        <v>2021</v>
      </c>
      <c r="C293" t="s">
        <v>58</v>
      </c>
      <c r="D293">
        <f t="shared" si="8"/>
        <v>161.17692307692306</v>
      </c>
      <c r="E293">
        <v>145.1</v>
      </c>
      <c r="F293">
        <v>198.5</v>
      </c>
      <c r="G293">
        <v>168.6</v>
      </c>
      <c r="H293">
        <v>155.80000000000001</v>
      </c>
      <c r="I293">
        <v>184.4</v>
      </c>
      <c r="J293">
        <v>162.30000000000001</v>
      </c>
      <c r="K293">
        <v>138.4</v>
      </c>
      <c r="L293">
        <v>165.1</v>
      </c>
      <c r="M293">
        <v>114.3</v>
      </c>
      <c r="N293">
        <v>169.7</v>
      </c>
      <c r="O293">
        <v>164.6</v>
      </c>
      <c r="P293">
        <v>169.8</v>
      </c>
      <c r="Q293">
        <v>158.69999999999999</v>
      </c>
      <c r="R293">
        <v>189.6</v>
      </c>
      <c r="S293">
        <v>165.3</v>
      </c>
      <c r="T293">
        <v>160.6</v>
      </c>
      <c r="U293">
        <v>164.5</v>
      </c>
      <c r="V293">
        <f>AVERAGE(V291:V292)</f>
        <v>161.4</v>
      </c>
      <c r="W293">
        <v>161.69999999999999</v>
      </c>
      <c r="X293">
        <f t="shared" si="9"/>
        <v>161.29999999999998</v>
      </c>
      <c r="Y293">
        <v>158.80000000000001</v>
      </c>
      <c r="Z293">
        <v>169.1</v>
      </c>
      <c r="AA293">
        <v>153.19999999999999</v>
      </c>
      <c r="AB293">
        <v>160</v>
      </c>
      <c r="AC293">
        <v>167.6</v>
      </c>
      <c r="AD293">
        <v>159.30000000000001</v>
      </c>
      <c r="AE293">
        <v>161.1</v>
      </c>
      <c r="AF293">
        <v>161.1</v>
      </c>
    </row>
    <row r="294" spans="1:32" x14ac:dyDescent="0.3">
      <c r="A294" t="s">
        <v>53</v>
      </c>
      <c r="B294">
        <v>2021</v>
      </c>
      <c r="C294" t="s">
        <v>58</v>
      </c>
      <c r="D294">
        <f t="shared" si="8"/>
        <v>163.43846153846155</v>
      </c>
      <c r="E294">
        <v>148.80000000000001</v>
      </c>
      <c r="F294">
        <v>204.3</v>
      </c>
      <c r="G294">
        <v>173</v>
      </c>
      <c r="H294">
        <v>156.5</v>
      </c>
      <c r="I294">
        <v>168.8</v>
      </c>
      <c r="J294">
        <v>172.5</v>
      </c>
      <c r="K294">
        <v>166.5</v>
      </c>
      <c r="L294">
        <v>165.9</v>
      </c>
      <c r="M294">
        <v>115.9</v>
      </c>
      <c r="N294">
        <v>165.2</v>
      </c>
      <c r="O294">
        <v>152</v>
      </c>
      <c r="P294">
        <v>171.1</v>
      </c>
      <c r="Q294">
        <v>164.2</v>
      </c>
      <c r="R294">
        <v>198.2</v>
      </c>
      <c r="S294">
        <v>156.5</v>
      </c>
      <c r="T294">
        <v>140.19999999999999</v>
      </c>
      <c r="U294">
        <v>154.1</v>
      </c>
      <c r="V294">
        <v>161.6</v>
      </c>
      <c r="W294">
        <v>155.5</v>
      </c>
      <c r="X294">
        <f t="shared" si="9"/>
        <v>153.5</v>
      </c>
      <c r="Y294">
        <v>150.1</v>
      </c>
      <c r="Z294">
        <v>160.4</v>
      </c>
      <c r="AA294">
        <v>145</v>
      </c>
      <c r="AB294">
        <v>152.6</v>
      </c>
      <c r="AC294">
        <v>156.6</v>
      </c>
      <c r="AD294">
        <v>157.5</v>
      </c>
      <c r="AE294">
        <v>152.30000000000001</v>
      </c>
      <c r="AF294">
        <v>159.5</v>
      </c>
    </row>
    <row r="295" spans="1:32" x14ac:dyDescent="0.3">
      <c r="A295" t="s">
        <v>54</v>
      </c>
      <c r="B295">
        <v>2021</v>
      </c>
      <c r="C295" t="s">
        <v>58</v>
      </c>
      <c r="D295">
        <f t="shared" si="8"/>
        <v>161.9769230769231</v>
      </c>
      <c r="E295">
        <v>146.30000000000001</v>
      </c>
      <c r="F295">
        <v>200.5</v>
      </c>
      <c r="G295">
        <v>170.3</v>
      </c>
      <c r="H295">
        <v>156.1</v>
      </c>
      <c r="I295">
        <v>178.7</v>
      </c>
      <c r="J295">
        <v>167.1</v>
      </c>
      <c r="K295">
        <v>147.9</v>
      </c>
      <c r="L295">
        <v>165.4</v>
      </c>
      <c r="M295">
        <v>114.8</v>
      </c>
      <c r="N295">
        <v>168.2</v>
      </c>
      <c r="O295">
        <v>159.30000000000001</v>
      </c>
      <c r="P295">
        <v>170.4</v>
      </c>
      <c r="Q295">
        <v>160.69999999999999</v>
      </c>
      <c r="R295">
        <v>191.9</v>
      </c>
      <c r="S295">
        <v>161.80000000000001</v>
      </c>
      <c r="T295">
        <v>152.1</v>
      </c>
      <c r="U295">
        <v>160.4</v>
      </c>
      <c r="V295">
        <v>161.6</v>
      </c>
      <c r="W295">
        <v>159.4</v>
      </c>
      <c r="X295">
        <f t="shared" si="9"/>
        <v>157.40000000000003</v>
      </c>
      <c r="Y295">
        <v>154.69999999999999</v>
      </c>
      <c r="Z295">
        <v>165.8</v>
      </c>
      <c r="AA295">
        <v>148.9</v>
      </c>
      <c r="AB295">
        <v>155.80000000000001</v>
      </c>
      <c r="AC295">
        <v>161.19999999999999</v>
      </c>
      <c r="AD295">
        <v>158.6</v>
      </c>
      <c r="AE295">
        <v>156.80000000000001</v>
      </c>
      <c r="AF295">
        <v>160.4</v>
      </c>
    </row>
    <row r="296" spans="1:32" x14ac:dyDescent="0.3">
      <c r="A296" t="s">
        <v>50</v>
      </c>
      <c r="B296">
        <v>2021</v>
      </c>
      <c r="C296" t="s">
        <v>59</v>
      </c>
      <c r="D296">
        <f t="shared" si="8"/>
        <v>163.27692307692308</v>
      </c>
      <c r="E296">
        <v>145.6</v>
      </c>
      <c r="F296">
        <v>200.1</v>
      </c>
      <c r="G296">
        <v>179.3</v>
      </c>
      <c r="H296">
        <v>156.1</v>
      </c>
      <c r="I296">
        <v>190.4</v>
      </c>
      <c r="J296">
        <v>158.6</v>
      </c>
      <c r="K296">
        <v>144.69999999999999</v>
      </c>
      <c r="L296">
        <v>165.5</v>
      </c>
      <c r="M296">
        <v>114.6</v>
      </c>
      <c r="N296">
        <v>170</v>
      </c>
      <c r="O296">
        <v>165.5</v>
      </c>
      <c r="P296">
        <v>171.7</v>
      </c>
      <c r="Q296">
        <v>160.5</v>
      </c>
      <c r="R296">
        <v>189.1</v>
      </c>
      <c r="S296">
        <v>165.3</v>
      </c>
      <c r="T296">
        <v>159.9</v>
      </c>
      <c r="U296">
        <v>164.6</v>
      </c>
      <c r="V296">
        <f>AVERAGE(V294:V295)</f>
        <v>161.6</v>
      </c>
      <c r="W296">
        <v>162.1</v>
      </c>
      <c r="X296">
        <f t="shared" si="9"/>
        <v>161.59999999999997</v>
      </c>
      <c r="Y296">
        <v>159.19999999999999</v>
      </c>
      <c r="Z296">
        <v>169.7</v>
      </c>
      <c r="AA296">
        <v>154.19999999999999</v>
      </c>
      <c r="AB296">
        <v>160.4</v>
      </c>
      <c r="AC296">
        <v>166.8</v>
      </c>
      <c r="AD296">
        <v>159.4</v>
      </c>
      <c r="AE296">
        <v>161.5</v>
      </c>
      <c r="AF296">
        <v>162.1</v>
      </c>
    </row>
    <row r="297" spans="1:32" x14ac:dyDescent="0.3">
      <c r="A297" t="s">
        <v>53</v>
      </c>
      <c r="B297">
        <v>2021</v>
      </c>
      <c r="C297" t="s">
        <v>59</v>
      </c>
      <c r="D297">
        <f t="shared" si="8"/>
        <v>165.7076923076923</v>
      </c>
      <c r="E297">
        <v>149.19999999999999</v>
      </c>
      <c r="F297">
        <v>205.5</v>
      </c>
      <c r="G297">
        <v>182.8</v>
      </c>
      <c r="H297">
        <v>156.5</v>
      </c>
      <c r="I297">
        <v>172.2</v>
      </c>
      <c r="J297">
        <v>171.5</v>
      </c>
      <c r="K297">
        <v>176.2</v>
      </c>
      <c r="L297">
        <v>166.9</v>
      </c>
      <c r="M297">
        <v>116.1</v>
      </c>
      <c r="N297">
        <v>165.5</v>
      </c>
      <c r="O297">
        <v>152.30000000000001</v>
      </c>
      <c r="P297">
        <v>173.3</v>
      </c>
      <c r="Q297">
        <v>166.2</v>
      </c>
      <c r="R297">
        <v>195.6</v>
      </c>
      <c r="S297">
        <v>157.30000000000001</v>
      </c>
      <c r="T297">
        <v>140.5</v>
      </c>
      <c r="U297">
        <v>154.80000000000001</v>
      </c>
      <c r="V297">
        <v>160.5</v>
      </c>
      <c r="W297">
        <v>156.1</v>
      </c>
      <c r="X297">
        <f t="shared" si="9"/>
        <v>154.04285714285714</v>
      </c>
      <c r="Y297">
        <v>149.80000000000001</v>
      </c>
      <c r="Z297">
        <v>160.80000000000001</v>
      </c>
      <c r="AA297">
        <v>147.5</v>
      </c>
      <c r="AB297">
        <v>150.69999999999999</v>
      </c>
      <c r="AC297">
        <v>158.1</v>
      </c>
      <c r="AD297">
        <v>158</v>
      </c>
      <c r="AE297">
        <v>153.4</v>
      </c>
      <c r="AF297">
        <v>160.4</v>
      </c>
    </row>
    <row r="298" spans="1:32" x14ac:dyDescent="0.3">
      <c r="A298" t="s">
        <v>54</v>
      </c>
      <c r="B298">
        <v>2021</v>
      </c>
      <c r="C298" t="s">
        <v>59</v>
      </c>
      <c r="D298">
        <f t="shared" si="8"/>
        <v>164.14615384615385</v>
      </c>
      <c r="E298">
        <v>146.69999999999999</v>
      </c>
      <c r="F298">
        <v>202</v>
      </c>
      <c r="G298">
        <v>180.7</v>
      </c>
      <c r="H298">
        <v>156.19999999999999</v>
      </c>
      <c r="I298">
        <v>183.7</v>
      </c>
      <c r="J298">
        <v>164.6</v>
      </c>
      <c r="K298">
        <v>155.4</v>
      </c>
      <c r="L298">
        <v>166</v>
      </c>
      <c r="M298">
        <v>115.1</v>
      </c>
      <c r="N298">
        <v>168.5</v>
      </c>
      <c r="O298">
        <v>160</v>
      </c>
      <c r="P298">
        <v>172.4</v>
      </c>
      <c r="Q298">
        <v>162.6</v>
      </c>
      <c r="R298">
        <v>190.8</v>
      </c>
      <c r="S298">
        <v>162.19999999999999</v>
      </c>
      <c r="T298">
        <v>151.80000000000001</v>
      </c>
      <c r="U298">
        <v>160.69999999999999</v>
      </c>
      <c r="V298">
        <v>160.5</v>
      </c>
      <c r="W298">
        <v>159.80000000000001</v>
      </c>
      <c r="X298">
        <f t="shared" si="9"/>
        <v>157.82857142857142</v>
      </c>
      <c r="Y298">
        <v>154.80000000000001</v>
      </c>
      <c r="Z298">
        <v>166.3</v>
      </c>
      <c r="AA298">
        <v>150.69999999999999</v>
      </c>
      <c r="AB298">
        <v>154.9</v>
      </c>
      <c r="AC298">
        <v>161.69999999999999</v>
      </c>
      <c r="AD298">
        <v>158.80000000000001</v>
      </c>
      <c r="AE298">
        <v>157.6</v>
      </c>
      <c r="AF298">
        <v>161.30000000000001</v>
      </c>
    </row>
    <row r="299" spans="1:32" x14ac:dyDescent="0.3">
      <c r="A299" t="s">
        <v>50</v>
      </c>
      <c r="B299">
        <v>2021</v>
      </c>
      <c r="C299" t="s">
        <v>60</v>
      </c>
      <c r="D299">
        <f t="shared" si="8"/>
        <v>164.03076923076924</v>
      </c>
      <c r="E299">
        <v>145.1</v>
      </c>
      <c r="F299">
        <v>204.5</v>
      </c>
      <c r="G299">
        <v>180.4</v>
      </c>
      <c r="H299">
        <v>157.1</v>
      </c>
      <c r="I299">
        <v>188.7</v>
      </c>
      <c r="J299">
        <v>157.69999999999999</v>
      </c>
      <c r="K299">
        <v>152.80000000000001</v>
      </c>
      <c r="L299">
        <v>163.6</v>
      </c>
      <c r="M299">
        <v>113.9</v>
      </c>
      <c r="N299">
        <v>169.7</v>
      </c>
      <c r="O299">
        <v>166.2</v>
      </c>
      <c r="P299">
        <v>171</v>
      </c>
      <c r="Q299">
        <v>161.69999999999999</v>
      </c>
      <c r="R299">
        <v>189.7</v>
      </c>
      <c r="S299">
        <v>166</v>
      </c>
      <c r="T299">
        <v>161.1</v>
      </c>
      <c r="U299">
        <v>165.3</v>
      </c>
      <c r="V299">
        <f>AVERAGE(V297:V298)</f>
        <v>160.5</v>
      </c>
      <c r="W299">
        <v>162.5</v>
      </c>
      <c r="X299">
        <f t="shared" si="9"/>
        <v>162.70000000000002</v>
      </c>
      <c r="Y299">
        <v>160.30000000000001</v>
      </c>
      <c r="Z299">
        <v>170.4</v>
      </c>
      <c r="AA299">
        <v>157.1</v>
      </c>
      <c r="AB299">
        <v>160.69999999999999</v>
      </c>
      <c r="AC299">
        <v>167.2</v>
      </c>
      <c r="AD299">
        <v>160.4</v>
      </c>
      <c r="AE299">
        <v>162.80000000000001</v>
      </c>
      <c r="AF299">
        <v>163.19999999999999</v>
      </c>
    </row>
    <row r="300" spans="1:32" x14ac:dyDescent="0.3">
      <c r="A300" t="s">
        <v>53</v>
      </c>
      <c r="B300">
        <v>2021</v>
      </c>
      <c r="C300" t="s">
        <v>60</v>
      </c>
      <c r="D300">
        <f t="shared" si="8"/>
        <v>167.06153846153848</v>
      </c>
      <c r="E300">
        <v>149.1</v>
      </c>
      <c r="F300">
        <v>210.9</v>
      </c>
      <c r="G300">
        <v>185</v>
      </c>
      <c r="H300">
        <v>158.19999999999999</v>
      </c>
      <c r="I300">
        <v>170.6</v>
      </c>
      <c r="J300">
        <v>170.9</v>
      </c>
      <c r="K300">
        <v>186.4</v>
      </c>
      <c r="L300">
        <v>164.7</v>
      </c>
      <c r="M300">
        <v>115.7</v>
      </c>
      <c r="N300">
        <v>165.5</v>
      </c>
      <c r="O300">
        <v>153.4</v>
      </c>
      <c r="P300">
        <v>173.5</v>
      </c>
      <c r="Q300">
        <v>167.9</v>
      </c>
      <c r="R300">
        <v>195.5</v>
      </c>
      <c r="S300">
        <v>157.9</v>
      </c>
      <c r="T300">
        <v>141.9</v>
      </c>
      <c r="U300">
        <v>155.5</v>
      </c>
      <c r="V300">
        <v>161.5</v>
      </c>
      <c r="W300">
        <v>157.69999999999999</v>
      </c>
      <c r="X300">
        <f t="shared" si="9"/>
        <v>155.40000000000003</v>
      </c>
      <c r="Y300">
        <v>150.69999999999999</v>
      </c>
      <c r="Z300">
        <v>161.5</v>
      </c>
      <c r="AA300">
        <v>149.5</v>
      </c>
      <c r="AB300">
        <v>151.19999999999999</v>
      </c>
      <c r="AC300">
        <v>160.30000000000001</v>
      </c>
      <c r="AD300">
        <v>159.6</v>
      </c>
      <c r="AE300">
        <v>155</v>
      </c>
      <c r="AF300">
        <v>161.80000000000001</v>
      </c>
    </row>
    <row r="301" spans="1:32" x14ac:dyDescent="0.3">
      <c r="A301" t="s">
        <v>54</v>
      </c>
      <c r="B301">
        <v>2021</v>
      </c>
      <c r="C301" t="s">
        <v>60</v>
      </c>
      <c r="D301">
        <f t="shared" si="8"/>
        <v>165.15384615384616</v>
      </c>
      <c r="E301">
        <v>146.4</v>
      </c>
      <c r="F301">
        <v>206.8</v>
      </c>
      <c r="G301">
        <v>182.2</v>
      </c>
      <c r="H301">
        <v>157.5</v>
      </c>
      <c r="I301">
        <v>182.1</v>
      </c>
      <c r="J301">
        <v>163.9</v>
      </c>
      <c r="K301">
        <v>164.2</v>
      </c>
      <c r="L301">
        <v>164</v>
      </c>
      <c r="M301">
        <v>114.5</v>
      </c>
      <c r="N301">
        <v>168.3</v>
      </c>
      <c r="O301">
        <v>160.9</v>
      </c>
      <c r="P301">
        <v>172.2</v>
      </c>
      <c r="Q301">
        <v>164</v>
      </c>
      <c r="R301">
        <v>191.2</v>
      </c>
      <c r="S301">
        <v>162.80000000000001</v>
      </c>
      <c r="T301">
        <v>153.1</v>
      </c>
      <c r="U301">
        <v>161.4</v>
      </c>
      <c r="V301">
        <v>161.5</v>
      </c>
      <c r="W301">
        <v>160.69999999999999</v>
      </c>
      <c r="X301">
        <f t="shared" si="9"/>
        <v>159.07142857142858</v>
      </c>
      <c r="Y301">
        <v>155.80000000000001</v>
      </c>
      <c r="Z301">
        <v>167</v>
      </c>
      <c r="AA301">
        <v>153.1</v>
      </c>
      <c r="AB301">
        <v>155.30000000000001</v>
      </c>
      <c r="AC301">
        <v>163.19999999999999</v>
      </c>
      <c r="AD301">
        <v>160.1</v>
      </c>
      <c r="AE301">
        <v>159</v>
      </c>
      <c r="AF301">
        <v>162.5</v>
      </c>
    </row>
    <row r="302" spans="1:32" x14ac:dyDescent="0.3">
      <c r="A302" t="s">
        <v>50</v>
      </c>
      <c r="B302">
        <v>2021</v>
      </c>
      <c r="C302" t="s">
        <v>61</v>
      </c>
      <c r="D302">
        <f t="shared" si="8"/>
        <v>163.90769230769232</v>
      </c>
      <c r="E302">
        <v>144.9</v>
      </c>
      <c r="F302">
        <v>202.3</v>
      </c>
      <c r="G302">
        <v>176.5</v>
      </c>
      <c r="H302">
        <v>157.5</v>
      </c>
      <c r="I302">
        <v>190.9</v>
      </c>
      <c r="J302">
        <v>155.69999999999999</v>
      </c>
      <c r="K302">
        <v>153.9</v>
      </c>
      <c r="L302">
        <v>162.80000000000001</v>
      </c>
      <c r="M302">
        <v>115.2</v>
      </c>
      <c r="N302">
        <v>169.8</v>
      </c>
      <c r="O302">
        <v>167.6</v>
      </c>
      <c r="P302">
        <v>171.9</v>
      </c>
      <c r="Q302">
        <v>161.80000000000001</v>
      </c>
      <c r="R302">
        <v>190.2</v>
      </c>
      <c r="S302">
        <v>167</v>
      </c>
      <c r="T302">
        <v>162.6</v>
      </c>
      <c r="U302">
        <v>166.3</v>
      </c>
      <c r="V302">
        <f>AVERAGE(V300:V301)</f>
        <v>161.5</v>
      </c>
      <c r="W302">
        <v>163.1</v>
      </c>
      <c r="X302">
        <f t="shared" si="9"/>
        <v>163.12857142857141</v>
      </c>
      <c r="Y302">
        <v>160.9</v>
      </c>
      <c r="Z302">
        <v>171.1</v>
      </c>
      <c r="AA302">
        <v>157.69999999999999</v>
      </c>
      <c r="AB302">
        <v>161.1</v>
      </c>
      <c r="AC302">
        <v>167.5</v>
      </c>
      <c r="AD302">
        <v>160.30000000000001</v>
      </c>
      <c r="AE302">
        <v>163.30000000000001</v>
      </c>
      <c r="AF302">
        <v>163.6</v>
      </c>
    </row>
    <row r="303" spans="1:32" x14ac:dyDescent="0.3">
      <c r="A303" t="s">
        <v>53</v>
      </c>
      <c r="B303">
        <v>2021</v>
      </c>
      <c r="C303" t="s">
        <v>61</v>
      </c>
      <c r="D303">
        <f t="shared" si="8"/>
        <v>165.99230769230769</v>
      </c>
      <c r="E303">
        <v>149.30000000000001</v>
      </c>
      <c r="F303">
        <v>207.4</v>
      </c>
      <c r="G303">
        <v>174.1</v>
      </c>
      <c r="H303">
        <v>159.19999999999999</v>
      </c>
      <c r="I303">
        <v>175</v>
      </c>
      <c r="J303">
        <v>161.30000000000001</v>
      </c>
      <c r="K303">
        <v>183.3</v>
      </c>
      <c r="L303">
        <v>164.5</v>
      </c>
      <c r="M303">
        <v>120.4</v>
      </c>
      <c r="N303">
        <v>166.2</v>
      </c>
      <c r="O303">
        <v>154.80000000000001</v>
      </c>
      <c r="P303">
        <v>175.1</v>
      </c>
      <c r="Q303">
        <v>167.3</v>
      </c>
      <c r="R303">
        <v>196.5</v>
      </c>
      <c r="S303">
        <v>159.80000000000001</v>
      </c>
      <c r="T303">
        <v>143.6</v>
      </c>
      <c r="U303">
        <v>157.30000000000001</v>
      </c>
      <c r="V303">
        <v>162.1</v>
      </c>
      <c r="W303">
        <v>160.69999999999999</v>
      </c>
      <c r="X303">
        <f t="shared" si="9"/>
        <v>156.58571428571426</v>
      </c>
      <c r="Y303">
        <v>153.19999999999999</v>
      </c>
      <c r="Z303">
        <v>162.80000000000001</v>
      </c>
      <c r="AA303">
        <v>150.4</v>
      </c>
      <c r="AB303">
        <v>153.69999999999999</v>
      </c>
      <c r="AC303">
        <v>160.4</v>
      </c>
      <c r="AD303">
        <v>159.6</v>
      </c>
      <c r="AE303">
        <v>156</v>
      </c>
      <c r="AF303">
        <v>162.30000000000001</v>
      </c>
    </row>
    <row r="304" spans="1:32" x14ac:dyDescent="0.3">
      <c r="A304" t="s">
        <v>54</v>
      </c>
      <c r="B304">
        <v>2021</v>
      </c>
      <c r="C304" t="s">
        <v>61</v>
      </c>
      <c r="D304">
        <f t="shared" si="8"/>
        <v>164.76923076923077</v>
      </c>
      <c r="E304">
        <v>146.6</v>
      </c>
      <c r="F304">
        <v>204</v>
      </c>
      <c r="G304">
        <v>172.8</v>
      </c>
      <c r="H304">
        <v>158.4</v>
      </c>
      <c r="I304">
        <v>188</v>
      </c>
      <c r="J304">
        <v>156.80000000000001</v>
      </c>
      <c r="K304">
        <v>162.19999999999999</v>
      </c>
      <c r="L304">
        <v>164.1</v>
      </c>
      <c r="M304">
        <v>119.7</v>
      </c>
      <c r="N304">
        <v>168.8</v>
      </c>
      <c r="O304">
        <v>162.69999999999999</v>
      </c>
      <c r="P304">
        <v>173.9</v>
      </c>
      <c r="Q304">
        <v>164</v>
      </c>
      <c r="R304">
        <v>192.1</v>
      </c>
      <c r="S304">
        <v>164.5</v>
      </c>
      <c r="T304">
        <v>155.30000000000001</v>
      </c>
      <c r="U304">
        <v>163.19999999999999</v>
      </c>
      <c r="V304">
        <v>162.1</v>
      </c>
      <c r="W304">
        <v>162.6</v>
      </c>
      <c r="X304">
        <f t="shared" si="9"/>
        <v>160.18571428571428</v>
      </c>
      <c r="Y304">
        <v>157.5</v>
      </c>
      <c r="Z304">
        <v>168.4</v>
      </c>
      <c r="AA304">
        <v>154</v>
      </c>
      <c r="AB304">
        <v>157.6</v>
      </c>
      <c r="AC304">
        <v>163.80000000000001</v>
      </c>
      <c r="AD304">
        <v>160</v>
      </c>
      <c r="AE304">
        <v>160</v>
      </c>
      <c r="AF304">
        <v>163.19999999999999</v>
      </c>
    </row>
    <row r="305" spans="1:32" x14ac:dyDescent="0.3">
      <c r="A305" t="s">
        <v>50</v>
      </c>
      <c r="B305">
        <v>2021</v>
      </c>
      <c r="C305" t="s">
        <v>62</v>
      </c>
      <c r="D305">
        <f t="shared" si="8"/>
        <v>164.12307692307692</v>
      </c>
      <c r="E305">
        <v>145.4</v>
      </c>
      <c r="F305">
        <v>202.1</v>
      </c>
      <c r="G305">
        <v>172</v>
      </c>
      <c r="H305">
        <v>158</v>
      </c>
      <c r="I305">
        <v>195.5</v>
      </c>
      <c r="J305">
        <v>152.69999999999999</v>
      </c>
      <c r="K305">
        <v>151.4</v>
      </c>
      <c r="L305">
        <v>163.9</v>
      </c>
      <c r="M305">
        <v>119.3</v>
      </c>
      <c r="N305">
        <v>170.1</v>
      </c>
      <c r="O305">
        <v>168.3</v>
      </c>
      <c r="P305">
        <v>172.8</v>
      </c>
      <c r="Q305">
        <v>162.1</v>
      </c>
      <c r="R305">
        <v>190.5</v>
      </c>
      <c r="S305">
        <v>167.7</v>
      </c>
      <c r="T305">
        <v>163.6</v>
      </c>
      <c r="U305">
        <v>167.1</v>
      </c>
      <c r="V305">
        <f>AVERAGE(V303:V304)</f>
        <v>162.1</v>
      </c>
      <c r="W305">
        <v>163.69999999999999</v>
      </c>
      <c r="X305">
        <f t="shared" si="9"/>
        <v>163.74285714285716</v>
      </c>
      <c r="Y305">
        <v>161.30000000000001</v>
      </c>
      <c r="Z305">
        <v>171.9</v>
      </c>
      <c r="AA305">
        <v>157.80000000000001</v>
      </c>
      <c r="AB305">
        <v>162.69999999999999</v>
      </c>
      <c r="AC305">
        <v>168.5</v>
      </c>
      <c r="AD305">
        <v>160.19999999999999</v>
      </c>
      <c r="AE305">
        <v>163.80000000000001</v>
      </c>
      <c r="AF305">
        <v>164</v>
      </c>
    </row>
    <row r="306" spans="1:32" x14ac:dyDescent="0.3">
      <c r="A306" t="s">
        <v>53</v>
      </c>
      <c r="B306">
        <v>2021</v>
      </c>
      <c r="C306" t="s">
        <v>62</v>
      </c>
      <c r="D306">
        <f t="shared" si="8"/>
        <v>165.99230769230769</v>
      </c>
      <c r="E306">
        <v>149.30000000000001</v>
      </c>
      <c r="F306">
        <v>207.4</v>
      </c>
      <c r="G306">
        <v>174.1</v>
      </c>
      <c r="H306">
        <v>159.1</v>
      </c>
      <c r="I306">
        <v>175</v>
      </c>
      <c r="J306">
        <v>161.19999999999999</v>
      </c>
      <c r="K306">
        <v>183.5</v>
      </c>
      <c r="L306">
        <v>164.5</v>
      </c>
      <c r="M306">
        <v>120.4</v>
      </c>
      <c r="N306">
        <v>166.2</v>
      </c>
      <c r="O306">
        <v>154.80000000000001</v>
      </c>
      <c r="P306">
        <v>175.1</v>
      </c>
      <c r="Q306">
        <v>167.3</v>
      </c>
      <c r="R306">
        <v>196.5</v>
      </c>
      <c r="S306">
        <v>159.80000000000001</v>
      </c>
      <c r="T306">
        <v>143.6</v>
      </c>
      <c r="U306">
        <v>157.4</v>
      </c>
      <c r="V306">
        <v>162.1</v>
      </c>
      <c r="W306">
        <v>160.80000000000001</v>
      </c>
      <c r="X306">
        <f t="shared" si="9"/>
        <v>156.62857142857143</v>
      </c>
      <c r="Y306">
        <v>153.30000000000001</v>
      </c>
      <c r="Z306">
        <v>162.80000000000001</v>
      </c>
      <c r="AA306">
        <v>150.5</v>
      </c>
      <c r="AB306">
        <v>153.9</v>
      </c>
      <c r="AC306">
        <v>160.30000000000001</v>
      </c>
      <c r="AD306">
        <v>159.6</v>
      </c>
      <c r="AE306">
        <v>156</v>
      </c>
      <c r="AF306">
        <v>162.30000000000001</v>
      </c>
    </row>
    <row r="307" spans="1:32" x14ac:dyDescent="0.3">
      <c r="A307" t="s">
        <v>54</v>
      </c>
      <c r="B307">
        <v>2021</v>
      </c>
      <c r="C307" t="s">
        <v>62</v>
      </c>
      <c r="D307">
        <f t="shared" si="8"/>
        <v>164.76923076923077</v>
      </c>
      <c r="E307">
        <v>146.6</v>
      </c>
      <c r="F307">
        <v>204</v>
      </c>
      <c r="G307">
        <v>172.8</v>
      </c>
      <c r="H307">
        <v>158.4</v>
      </c>
      <c r="I307">
        <v>188</v>
      </c>
      <c r="J307">
        <v>156.69999999999999</v>
      </c>
      <c r="K307">
        <v>162.30000000000001</v>
      </c>
      <c r="L307">
        <v>164.1</v>
      </c>
      <c r="M307">
        <v>119.7</v>
      </c>
      <c r="N307">
        <v>168.8</v>
      </c>
      <c r="O307">
        <v>162.69999999999999</v>
      </c>
      <c r="P307">
        <v>173.9</v>
      </c>
      <c r="Q307">
        <v>164</v>
      </c>
      <c r="R307">
        <v>192.1</v>
      </c>
      <c r="S307">
        <v>164.6</v>
      </c>
      <c r="T307">
        <v>155.30000000000001</v>
      </c>
      <c r="U307">
        <v>163.30000000000001</v>
      </c>
      <c r="V307">
        <v>162.1</v>
      </c>
      <c r="W307">
        <v>162.6</v>
      </c>
      <c r="X307">
        <f t="shared" si="9"/>
        <v>160.18571428571428</v>
      </c>
      <c r="Y307">
        <v>157.5</v>
      </c>
      <c r="Z307">
        <v>168.4</v>
      </c>
      <c r="AA307">
        <v>154</v>
      </c>
      <c r="AB307">
        <v>157.69999999999999</v>
      </c>
      <c r="AC307">
        <v>163.69999999999999</v>
      </c>
      <c r="AD307">
        <v>160</v>
      </c>
      <c r="AE307">
        <v>160</v>
      </c>
      <c r="AF307">
        <v>163.19999999999999</v>
      </c>
    </row>
    <row r="308" spans="1:32" x14ac:dyDescent="0.3">
      <c r="A308" t="s">
        <v>50</v>
      </c>
      <c r="B308">
        <v>2021</v>
      </c>
      <c r="C308" t="s">
        <v>63</v>
      </c>
      <c r="D308">
        <f t="shared" si="8"/>
        <v>166.47692307692307</v>
      </c>
      <c r="E308">
        <v>146.1</v>
      </c>
      <c r="F308">
        <v>202.5</v>
      </c>
      <c r="G308">
        <v>170.1</v>
      </c>
      <c r="H308">
        <v>158.4</v>
      </c>
      <c r="I308">
        <v>198.8</v>
      </c>
      <c r="J308">
        <v>152.6</v>
      </c>
      <c r="K308">
        <v>170.4</v>
      </c>
      <c r="L308">
        <v>165.2</v>
      </c>
      <c r="M308">
        <v>121.6</v>
      </c>
      <c r="N308">
        <v>170.6</v>
      </c>
      <c r="O308">
        <v>168.8</v>
      </c>
      <c r="P308">
        <v>173.6</v>
      </c>
      <c r="Q308">
        <v>165.5</v>
      </c>
      <c r="R308">
        <v>191.2</v>
      </c>
      <c r="S308">
        <v>168.9</v>
      </c>
      <c r="T308">
        <v>164.8</v>
      </c>
      <c r="U308">
        <v>168.3</v>
      </c>
      <c r="V308">
        <f>AVERAGE(V306:V307)</f>
        <v>162.1</v>
      </c>
      <c r="W308">
        <v>165.5</v>
      </c>
      <c r="X308">
        <f t="shared" si="9"/>
        <v>164.57142857142858</v>
      </c>
      <c r="Y308">
        <v>162</v>
      </c>
      <c r="Z308">
        <v>172.5</v>
      </c>
      <c r="AA308">
        <v>159.5</v>
      </c>
      <c r="AB308">
        <v>163.19999999999999</v>
      </c>
      <c r="AC308">
        <v>169</v>
      </c>
      <c r="AD308">
        <v>161.1</v>
      </c>
      <c r="AE308">
        <v>164.7</v>
      </c>
      <c r="AF308">
        <v>166.3</v>
      </c>
    </row>
    <row r="309" spans="1:32" x14ac:dyDescent="0.3">
      <c r="A309" t="s">
        <v>53</v>
      </c>
      <c r="B309">
        <v>2021</v>
      </c>
      <c r="C309" t="s">
        <v>63</v>
      </c>
      <c r="D309">
        <f t="shared" si="8"/>
        <v>169.10769230769236</v>
      </c>
      <c r="E309">
        <v>150.1</v>
      </c>
      <c r="F309">
        <v>208.4</v>
      </c>
      <c r="G309">
        <v>173</v>
      </c>
      <c r="H309">
        <v>159.19999999999999</v>
      </c>
      <c r="I309">
        <v>176.6</v>
      </c>
      <c r="J309">
        <v>159.30000000000001</v>
      </c>
      <c r="K309">
        <v>214.4</v>
      </c>
      <c r="L309">
        <v>165.3</v>
      </c>
      <c r="M309">
        <v>122.5</v>
      </c>
      <c r="N309">
        <v>166.8</v>
      </c>
      <c r="O309">
        <v>155.4</v>
      </c>
      <c r="P309">
        <v>175.9</v>
      </c>
      <c r="Q309">
        <v>171.5</v>
      </c>
      <c r="R309">
        <v>197</v>
      </c>
      <c r="S309">
        <v>160.80000000000001</v>
      </c>
      <c r="T309">
        <v>144.4</v>
      </c>
      <c r="U309">
        <v>158.30000000000001</v>
      </c>
      <c r="V309">
        <v>163.6</v>
      </c>
      <c r="W309">
        <v>162.19999999999999</v>
      </c>
      <c r="X309">
        <f t="shared" si="9"/>
        <v>157.52857142857144</v>
      </c>
      <c r="Y309">
        <v>154.30000000000001</v>
      </c>
      <c r="Z309">
        <v>163.5</v>
      </c>
      <c r="AA309">
        <v>152.19999999999999</v>
      </c>
      <c r="AB309">
        <v>155.1</v>
      </c>
      <c r="AC309">
        <v>160.30000000000001</v>
      </c>
      <c r="AD309">
        <v>160.30000000000001</v>
      </c>
      <c r="AE309">
        <v>157</v>
      </c>
      <c r="AF309">
        <v>164.6</v>
      </c>
    </row>
    <row r="310" spans="1:32" x14ac:dyDescent="0.3">
      <c r="A310" t="s">
        <v>54</v>
      </c>
      <c r="B310">
        <v>2021</v>
      </c>
      <c r="C310" t="s">
        <v>63</v>
      </c>
      <c r="D310">
        <f t="shared" si="8"/>
        <v>167.34615384615384</v>
      </c>
      <c r="E310">
        <v>147.4</v>
      </c>
      <c r="F310">
        <v>204.6</v>
      </c>
      <c r="G310">
        <v>171.2</v>
      </c>
      <c r="H310">
        <v>158.69999999999999</v>
      </c>
      <c r="I310">
        <v>190.6</v>
      </c>
      <c r="J310">
        <v>155.69999999999999</v>
      </c>
      <c r="K310">
        <v>185.3</v>
      </c>
      <c r="L310">
        <v>165.2</v>
      </c>
      <c r="M310">
        <v>121.9</v>
      </c>
      <c r="N310">
        <v>169.3</v>
      </c>
      <c r="O310">
        <v>163.19999999999999</v>
      </c>
      <c r="P310">
        <v>174.7</v>
      </c>
      <c r="Q310">
        <v>167.7</v>
      </c>
      <c r="R310">
        <v>192.7</v>
      </c>
      <c r="S310">
        <v>165.7</v>
      </c>
      <c r="T310">
        <v>156.30000000000001</v>
      </c>
      <c r="U310">
        <v>164.3</v>
      </c>
      <c r="V310">
        <v>163.6</v>
      </c>
      <c r="W310">
        <v>164.2</v>
      </c>
      <c r="X310">
        <f t="shared" si="9"/>
        <v>161.07142857142858</v>
      </c>
      <c r="Y310">
        <v>158.4</v>
      </c>
      <c r="Z310">
        <v>169.1</v>
      </c>
      <c r="AA310">
        <v>155.69999999999999</v>
      </c>
      <c r="AB310">
        <v>158.6</v>
      </c>
      <c r="AC310">
        <v>163.9</v>
      </c>
      <c r="AD310">
        <v>160.80000000000001</v>
      </c>
      <c r="AE310">
        <v>161</v>
      </c>
      <c r="AF310">
        <v>165.5</v>
      </c>
    </row>
    <row r="311" spans="1:32" x14ac:dyDescent="0.3">
      <c r="A311" t="s">
        <v>50</v>
      </c>
      <c r="B311">
        <v>2021</v>
      </c>
      <c r="C311" t="s">
        <v>65</v>
      </c>
      <c r="D311">
        <f t="shared" si="8"/>
        <v>167.84615384615384</v>
      </c>
      <c r="E311">
        <v>146.9</v>
      </c>
      <c r="F311">
        <v>199.8</v>
      </c>
      <c r="G311">
        <v>171.5</v>
      </c>
      <c r="H311">
        <v>159.1</v>
      </c>
      <c r="I311">
        <v>198.4</v>
      </c>
      <c r="J311">
        <v>153.19999999999999</v>
      </c>
      <c r="K311">
        <v>183.9</v>
      </c>
      <c r="L311">
        <v>165.4</v>
      </c>
      <c r="M311">
        <v>122.1</v>
      </c>
      <c r="N311">
        <v>170.8</v>
      </c>
      <c r="O311">
        <v>169.1</v>
      </c>
      <c r="P311">
        <v>174.3</v>
      </c>
      <c r="Q311">
        <v>167.5</v>
      </c>
      <c r="R311">
        <v>191.4</v>
      </c>
      <c r="S311">
        <v>170.4</v>
      </c>
      <c r="T311">
        <v>166</v>
      </c>
      <c r="U311">
        <v>169.8</v>
      </c>
      <c r="V311">
        <f>AVERAGE(V309:V310)</f>
        <v>163.6</v>
      </c>
      <c r="W311">
        <v>165.3</v>
      </c>
      <c r="X311">
        <f t="shared" si="9"/>
        <v>165.12857142857141</v>
      </c>
      <c r="Y311">
        <v>162.9</v>
      </c>
      <c r="Z311">
        <v>173.4</v>
      </c>
      <c r="AA311">
        <v>158.9</v>
      </c>
      <c r="AB311">
        <v>163.80000000000001</v>
      </c>
      <c r="AC311">
        <v>169.3</v>
      </c>
      <c r="AD311">
        <v>162.4</v>
      </c>
      <c r="AE311">
        <v>165.2</v>
      </c>
      <c r="AF311">
        <v>167.6</v>
      </c>
    </row>
    <row r="312" spans="1:32" x14ac:dyDescent="0.3">
      <c r="A312" t="s">
        <v>53</v>
      </c>
      <c r="B312">
        <v>2021</v>
      </c>
      <c r="C312" t="s">
        <v>65</v>
      </c>
      <c r="D312">
        <f t="shared" si="8"/>
        <v>170.60769230769228</v>
      </c>
      <c r="E312">
        <v>151</v>
      </c>
      <c r="F312">
        <v>204.9</v>
      </c>
      <c r="G312">
        <v>175.4</v>
      </c>
      <c r="H312">
        <v>159.6</v>
      </c>
      <c r="I312">
        <v>175.8</v>
      </c>
      <c r="J312">
        <v>160.30000000000001</v>
      </c>
      <c r="K312">
        <v>229.1</v>
      </c>
      <c r="L312">
        <v>165.1</v>
      </c>
      <c r="M312">
        <v>123.1</v>
      </c>
      <c r="N312">
        <v>167.2</v>
      </c>
      <c r="O312">
        <v>156.1</v>
      </c>
      <c r="P312">
        <v>176.8</v>
      </c>
      <c r="Q312">
        <v>173.5</v>
      </c>
      <c r="R312">
        <v>197</v>
      </c>
      <c r="S312">
        <v>162.30000000000001</v>
      </c>
      <c r="T312">
        <v>145.30000000000001</v>
      </c>
      <c r="U312">
        <v>159.69999999999999</v>
      </c>
      <c r="V312">
        <v>164.2</v>
      </c>
      <c r="W312">
        <v>161.6</v>
      </c>
      <c r="X312">
        <f t="shared" si="9"/>
        <v>158.17142857142855</v>
      </c>
      <c r="Y312">
        <v>155.19999999999999</v>
      </c>
      <c r="Z312">
        <v>164.2</v>
      </c>
      <c r="AA312">
        <v>151.19999999999999</v>
      </c>
      <c r="AB312">
        <v>156.69999999999999</v>
      </c>
      <c r="AC312">
        <v>160.80000000000001</v>
      </c>
      <c r="AD312">
        <v>161.80000000000001</v>
      </c>
      <c r="AE312">
        <v>157.30000000000001</v>
      </c>
      <c r="AF312">
        <v>165.6</v>
      </c>
    </row>
    <row r="313" spans="1:32" x14ac:dyDescent="0.3">
      <c r="A313" t="s">
        <v>54</v>
      </c>
      <c r="B313">
        <v>2021</v>
      </c>
      <c r="C313" t="s">
        <v>65</v>
      </c>
      <c r="D313">
        <f t="shared" si="8"/>
        <v>168.77692307692308</v>
      </c>
      <c r="E313">
        <v>148.19999999999999</v>
      </c>
      <c r="F313">
        <v>201.6</v>
      </c>
      <c r="G313">
        <v>173</v>
      </c>
      <c r="H313">
        <v>159.30000000000001</v>
      </c>
      <c r="I313">
        <v>190.1</v>
      </c>
      <c r="J313">
        <v>156.5</v>
      </c>
      <c r="K313">
        <v>199.2</v>
      </c>
      <c r="L313">
        <v>165.3</v>
      </c>
      <c r="M313">
        <v>122.4</v>
      </c>
      <c r="N313">
        <v>169.6</v>
      </c>
      <c r="O313">
        <v>163.69999999999999</v>
      </c>
      <c r="P313">
        <v>175.5</v>
      </c>
      <c r="Q313">
        <v>169.7</v>
      </c>
      <c r="R313">
        <v>192.9</v>
      </c>
      <c r="S313">
        <v>167.2</v>
      </c>
      <c r="T313">
        <v>157.4</v>
      </c>
      <c r="U313">
        <v>165.8</v>
      </c>
      <c r="V313">
        <v>164.2</v>
      </c>
      <c r="W313">
        <v>163.9</v>
      </c>
      <c r="X313">
        <f t="shared" si="9"/>
        <v>161.67142857142861</v>
      </c>
      <c r="Y313">
        <v>159.30000000000001</v>
      </c>
      <c r="Z313">
        <v>169.9</v>
      </c>
      <c r="AA313">
        <v>154.80000000000001</v>
      </c>
      <c r="AB313">
        <v>159.80000000000001</v>
      </c>
      <c r="AC313">
        <v>164.3</v>
      </c>
      <c r="AD313">
        <v>162.19999999999999</v>
      </c>
      <c r="AE313">
        <v>161.4</v>
      </c>
      <c r="AF313">
        <v>166.7</v>
      </c>
    </row>
    <row r="314" spans="1:32" x14ac:dyDescent="0.3">
      <c r="A314" t="s">
        <v>50</v>
      </c>
      <c r="B314">
        <v>2021</v>
      </c>
      <c r="C314" t="s">
        <v>66</v>
      </c>
      <c r="D314">
        <f t="shared" si="8"/>
        <v>166.78461538461536</v>
      </c>
      <c r="E314">
        <v>147.4</v>
      </c>
      <c r="F314">
        <v>197</v>
      </c>
      <c r="G314">
        <v>176.5</v>
      </c>
      <c r="H314">
        <v>159.80000000000001</v>
      </c>
      <c r="I314">
        <v>195.8</v>
      </c>
      <c r="J314">
        <v>152</v>
      </c>
      <c r="K314">
        <v>172.3</v>
      </c>
      <c r="L314">
        <v>164.5</v>
      </c>
      <c r="M314">
        <v>120.6</v>
      </c>
      <c r="N314">
        <v>171.7</v>
      </c>
      <c r="O314">
        <v>169.7</v>
      </c>
      <c r="P314">
        <v>175.1</v>
      </c>
      <c r="Q314">
        <v>165.8</v>
      </c>
      <c r="R314">
        <v>190.8</v>
      </c>
      <c r="S314">
        <v>171.8</v>
      </c>
      <c r="T314">
        <v>167.3</v>
      </c>
      <c r="U314">
        <v>171.2</v>
      </c>
      <c r="V314">
        <f>AVERAGE(V312:V313)</f>
        <v>164.2</v>
      </c>
      <c r="W314">
        <v>165.6</v>
      </c>
      <c r="X314">
        <f t="shared" si="9"/>
        <v>165.85714285714286</v>
      </c>
      <c r="Y314">
        <v>163.9</v>
      </c>
      <c r="Z314">
        <v>174</v>
      </c>
      <c r="AA314">
        <v>160.1</v>
      </c>
      <c r="AB314">
        <v>164.5</v>
      </c>
      <c r="AC314">
        <v>169.7</v>
      </c>
      <c r="AD314">
        <v>162.80000000000001</v>
      </c>
      <c r="AE314">
        <v>166</v>
      </c>
      <c r="AF314">
        <v>167</v>
      </c>
    </row>
    <row r="315" spans="1:32" x14ac:dyDescent="0.3">
      <c r="A315" t="s">
        <v>53</v>
      </c>
      <c r="B315">
        <v>2021</v>
      </c>
      <c r="C315" t="s">
        <v>66</v>
      </c>
      <c r="D315">
        <f t="shared" si="8"/>
        <v>169.71538461538464</v>
      </c>
      <c r="E315">
        <v>151.6</v>
      </c>
      <c r="F315">
        <v>202.2</v>
      </c>
      <c r="G315">
        <v>180</v>
      </c>
      <c r="H315">
        <v>160</v>
      </c>
      <c r="I315">
        <v>173.5</v>
      </c>
      <c r="J315">
        <v>158.30000000000001</v>
      </c>
      <c r="K315">
        <v>219.5</v>
      </c>
      <c r="L315">
        <v>164.2</v>
      </c>
      <c r="M315">
        <v>121.9</v>
      </c>
      <c r="N315">
        <v>168.2</v>
      </c>
      <c r="O315">
        <v>156.5</v>
      </c>
      <c r="P315">
        <v>178.2</v>
      </c>
      <c r="Q315">
        <v>172.2</v>
      </c>
      <c r="R315">
        <v>196.8</v>
      </c>
      <c r="S315">
        <v>163.30000000000001</v>
      </c>
      <c r="T315">
        <v>146.69999999999999</v>
      </c>
      <c r="U315">
        <v>160.69999999999999</v>
      </c>
      <c r="V315">
        <v>163.4</v>
      </c>
      <c r="W315">
        <v>161.69999999999999</v>
      </c>
      <c r="X315">
        <f t="shared" si="9"/>
        <v>158.75714285714284</v>
      </c>
      <c r="Y315">
        <v>156</v>
      </c>
      <c r="Z315">
        <v>165.1</v>
      </c>
      <c r="AA315">
        <v>151.80000000000001</v>
      </c>
      <c r="AB315">
        <v>157.6</v>
      </c>
      <c r="AC315">
        <v>160.6</v>
      </c>
      <c r="AD315">
        <v>162.4</v>
      </c>
      <c r="AE315">
        <v>157.80000000000001</v>
      </c>
      <c r="AF315">
        <v>165.2</v>
      </c>
    </row>
    <row r="316" spans="1:32" x14ac:dyDescent="0.3">
      <c r="A316" t="s">
        <v>54</v>
      </c>
      <c r="B316">
        <v>2021</v>
      </c>
      <c r="C316" t="s">
        <v>66</v>
      </c>
      <c r="D316">
        <f t="shared" si="8"/>
        <v>167.76153846153846</v>
      </c>
      <c r="E316">
        <v>148.69999999999999</v>
      </c>
      <c r="F316">
        <v>198.8</v>
      </c>
      <c r="G316">
        <v>177.9</v>
      </c>
      <c r="H316">
        <v>159.9</v>
      </c>
      <c r="I316">
        <v>187.6</v>
      </c>
      <c r="J316">
        <v>154.9</v>
      </c>
      <c r="K316">
        <v>188.3</v>
      </c>
      <c r="L316">
        <v>164.4</v>
      </c>
      <c r="M316">
        <v>121</v>
      </c>
      <c r="N316">
        <v>170.5</v>
      </c>
      <c r="O316">
        <v>164.2</v>
      </c>
      <c r="P316">
        <v>176.5</v>
      </c>
      <c r="Q316">
        <v>168.2</v>
      </c>
      <c r="R316">
        <v>192.4</v>
      </c>
      <c r="S316">
        <v>168.5</v>
      </c>
      <c r="T316">
        <v>158.69999999999999</v>
      </c>
      <c r="U316">
        <v>167</v>
      </c>
      <c r="V316">
        <v>163.4</v>
      </c>
      <c r="W316">
        <v>164.1</v>
      </c>
      <c r="X316">
        <f t="shared" si="9"/>
        <v>162.29999999999998</v>
      </c>
      <c r="Y316">
        <v>160.19999999999999</v>
      </c>
      <c r="Z316">
        <v>170.6</v>
      </c>
      <c r="AA316">
        <v>155.69999999999999</v>
      </c>
      <c r="AB316">
        <v>160.6</v>
      </c>
      <c r="AC316">
        <v>164.4</v>
      </c>
      <c r="AD316">
        <v>162.6</v>
      </c>
      <c r="AE316">
        <v>162</v>
      </c>
      <c r="AF316">
        <v>166.2</v>
      </c>
    </row>
    <row r="317" spans="1:32" x14ac:dyDescent="0.3">
      <c r="A317" t="s">
        <v>50</v>
      </c>
      <c r="B317">
        <v>2022</v>
      </c>
      <c r="C317" t="s">
        <v>51</v>
      </c>
      <c r="D317">
        <f t="shared" si="8"/>
        <v>165.61538461538461</v>
      </c>
      <c r="E317">
        <v>148.30000000000001</v>
      </c>
      <c r="F317">
        <v>196.9</v>
      </c>
      <c r="G317">
        <v>178</v>
      </c>
      <c r="H317">
        <v>160.5</v>
      </c>
      <c r="I317">
        <v>192.6</v>
      </c>
      <c r="J317">
        <v>151.19999999999999</v>
      </c>
      <c r="K317">
        <v>159.19999999999999</v>
      </c>
      <c r="L317">
        <v>164</v>
      </c>
      <c r="M317">
        <v>119.3</v>
      </c>
      <c r="N317">
        <v>173.3</v>
      </c>
      <c r="O317">
        <v>169.8</v>
      </c>
      <c r="P317">
        <v>175.8</v>
      </c>
      <c r="Q317">
        <v>164.1</v>
      </c>
      <c r="R317">
        <v>190.7</v>
      </c>
      <c r="S317">
        <v>173.2</v>
      </c>
      <c r="T317">
        <v>169.3</v>
      </c>
      <c r="U317">
        <v>172.7</v>
      </c>
      <c r="V317">
        <f>AVERAGE(V315:V316)</f>
        <v>163.4</v>
      </c>
      <c r="W317">
        <v>165.8</v>
      </c>
      <c r="X317">
        <f t="shared" si="9"/>
        <v>166.42857142857142</v>
      </c>
      <c r="Y317">
        <v>164.9</v>
      </c>
      <c r="Z317">
        <v>174.7</v>
      </c>
      <c r="AA317">
        <v>160.80000000000001</v>
      </c>
      <c r="AB317">
        <v>164.9</v>
      </c>
      <c r="AC317">
        <v>169.9</v>
      </c>
      <c r="AD317">
        <v>163.19999999999999</v>
      </c>
      <c r="AE317">
        <v>166.6</v>
      </c>
      <c r="AF317">
        <v>166.4</v>
      </c>
    </row>
    <row r="318" spans="1:32" x14ac:dyDescent="0.3">
      <c r="A318" t="s">
        <v>53</v>
      </c>
      <c r="B318">
        <v>2022</v>
      </c>
      <c r="C318" t="s">
        <v>51</v>
      </c>
      <c r="D318">
        <f t="shared" si="8"/>
        <v>168.2076923076923</v>
      </c>
      <c r="E318">
        <v>152.19999999999999</v>
      </c>
      <c r="F318">
        <v>202.1</v>
      </c>
      <c r="G318">
        <v>180.1</v>
      </c>
      <c r="H318">
        <v>160.4</v>
      </c>
      <c r="I318">
        <v>171</v>
      </c>
      <c r="J318">
        <v>156.5</v>
      </c>
      <c r="K318">
        <v>203.6</v>
      </c>
      <c r="L318">
        <v>163.80000000000001</v>
      </c>
      <c r="M318">
        <v>121.3</v>
      </c>
      <c r="N318">
        <v>169.8</v>
      </c>
      <c r="O318">
        <v>156.6</v>
      </c>
      <c r="P318">
        <v>179</v>
      </c>
      <c r="Q318">
        <v>170.3</v>
      </c>
      <c r="R318">
        <v>196.4</v>
      </c>
      <c r="S318">
        <v>164.7</v>
      </c>
      <c r="T318">
        <v>148.5</v>
      </c>
      <c r="U318">
        <v>162.19999999999999</v>
      </c>
      <c r="V318">
        <v>164.5</v>
      </c>
      <c r="W318">
        <v>161.6</v>
      </c>
      <c r="X318">
        <f t="shared" si="9"/>
        <v>159.48571428571427</v>
      </c>
      <c r="Y318">
        <v>156.80000000000001</v>
      </c>
      <c r="Z318">
        <v>166.1</v>
      </c>
      <c r="AA318">
        <v>152.69999999999999</v>
      </c>
      <c r="AB318">
        <v>158.4</v>
      </c>
      <c r="AC318">
        <v>161</v>
      </c>
      <c r="AD318">
        <v>162.80000000000001</v>
      </c>
      <c r="AE318">
        <v>158.6</v>
      </c>
      <c r="AF318">
        <v>165</v>
      </c>
    </row>
    <row r="319" spans="1:32" x14ac:dyDescent="0.3">
      <c r="A319" t="s">
        <v>54</v>
      </c>
      <c r="B319">
        <v>2022</v>
      </c>
      <c r="C319" t="s">
        <v>51</v>
      </c>
      <c r="D319">
        <f t="shared" si="8"/>
        <v>166.47692307692307</v>
      </c>
      <c r="E319">
        <v>149.5</v>
      </c>
      <c r="F319">
        <v>198.7</v>
      </c>
      <c r="G319">
        <v>178.8</v>
      </c>
      <c r="H319">
        <v>160.5</v>
      </c>
      <c r="I319">
        <v>184.7</v>
      </c>
      <c r="J319">
        <v>153.69999999999999</v>
      </c>
      <c r="K319">
        <v>174.3</v>
      </c>
      <c r="L319">
        <v>163.9</v>
      </c>
      <c r="M319">
        <v>120</v>
      </c>
      <c r="N319">
        <v>172.1</v>
      </c>
      <c r="O319">
        <v>164.3</v>
      </c>
      <c r="P319">
        <v>177.3</v>
      </c>
      <c r="Q319">
        <v>166.4</v>
      </c>
      <c r="R319">
        <v>192.2</v>
      </c>
      <c r="S319">
        <v>169.9</v>
      </c>
      <c r="T319">
        <v>160.69999999999999</v>
      </c>
      <c r="U319">
        <v>168.5</v>
      </c>
      <c r="V319">
        <v>164.5</v>
      </c>
      <c r="W319">
        <v>164.2</v>
      </c>
      <c r="X319">
        <f t="shared" si="9"/>
        <v>162.94285714285715</v>
      </c>
      <c r="Y319">
        <v>161.1</v>
      </c>
      <c r="Z319">
        <v>171.4</v>
      </c>
      <c r="AA319">
        <v>156.5</v>
      </c>
      <c r="AB319">
        <v>161.19999999999999</v>
      </c>
      <c r="AC319">
        <v>164.7</v>
      </c>
      <c r="AD319">
        <v>163</v>
      </c>
      <c r="AE319">
        <v>162.69999999999999</v>
      </c>
      <c r="AF319">
        <v>165.7</v>
      </c>
    </row>
    <row r="320" spans="1:32" x14ac:dyDescent="0.3">
      <c r="A320" t="s">
        <v>50</v>
      </c>
      <c r="B320">
        <v>2022</v>
      </c>
      <c r="C320" t="s">
        <v>55</v>
      </c>
      <c r="D320">
        <f t="shared" si="8"/>
        <v>165.41538461538462</v>
      </c>
      <c r="E320">
        <v>148.80000000000001</v>
      </c>
      <c r="F320">
        <v>198.1</v>
      </c>
      <c r="G320">
        <v>175.5</v>
      </c>
      <c r="H320">
        <v>160.69999999999999</v>
      </c>
      <c r="I320">
        <v>192.6</v>
      </c>
      <c r="J320">
        <v>151.4</v>
      </c>
      <c r="K320">
        <v>155.19999999999999</v>
      </c>
      <c r="L320">
        <v>163.9</v>
      </c>
      <c r="M320">
        <v>118.1</v>
      </c>
      <c r="N320">
        <v>175.4</v>
      </c>
      <c r="O320">
        <v>170.5</v>
      </c>
      <c r="P320">
        <v>176.3</v>
      </c>
      <c r="Q320">
        <v>163.9</v>
      </c>
      <c r="R320">
        <v>191.5</v>
      </c>
      <c r="S320">
        <v>174.1</v>
      </c>
      <c r="T320">
        <v>171</v>
      </c>
      <c r="U320">
        <v>173.7</v>
      </c>
      <c r="V320">
        <f>AVERAGE(V318:V319)</f>
        <v>164.5</v>
      </c>
      <c r="W320">
        <v>167.4</v>
      </c>
      <c r="X320">
        <f t="shared" si="9"/>
        <v>167.1142857142857</v>
      </c>
      <c r="Y320">
        <v>165.7</v>
      </c>
      <c r="Z320">
        <v>175.3</v>
      </c>
      <c r="AA320">
        <v>161.19999999999999</v>
      </c>
      <c r="AB320">
        <v>165.5</v>
      </c>
      <c r="AC320">
        <v>170.3</v>
      </c>
      <c r="AD320">
        <v>164.5</v>
      </c>
      <c r="AE320">
        <v>167.3</v>
      </c>
      <c r="AF320">
        <v>166.7</v>
      </c>
    </row>
    <row r="321" spans="1:32" x14ac:dyDescent="0.3">
      <c r="A321" t="s">
        <v>53</v>
      </c>
      <c r="B321">
        <v>2022</v>
      </c>
      <c r="C321" t="s">
        <v>55</v>
      </c>
      <c r="D321">
        <f t="shared" si="8"/>
        <v>167.96153846153845</v>
      </c>
      <c r="E321">
        <v>152.5</v>
      </c>
      <c r="F321">
        <v>205.2</v>
      </c>
      <c r="G321">
        <v>176.4</v>
      </c>
      <c r="H321">
        <v>160.6</v>
      </c>
      <c r="I321">
        <v>171.5</v>
      </c>
      <c r="J321">
        <v>156.4</v>
      </c>
      <c r="K321">
        <v>198</v>
      </c>
      <c r="L321">
        <v>163.19999999999999</v>
      </c>
      <c r="M321">
        <v>120.6</v>
      </c>
      <c r="N321">
        <v>172.2</v>
      </c>
      <c r="O321">
        <v>156.69999999999999</v>
      </c>
      <c r="P321">
        <v>180</v>
      </c>
      <c r="Q321">
        <v>170.2</v>
      </c>
      <c r="R321">
        <v>196.5</v>
      </c>
      <c r="S321">
        <v>165.7</v>
      </c>
      <c r="T321">
        <v>150.4</v>
      </c>
      <c r="U321">
        <v>163.4</v>
      </c>
      <c r="V321">
        <v>165.5</v>
      </c>
      <c r="W321">
        <v>163</v>
      </c>
      <c r="X321">
        <f t="shared" si="9"/>
        <v>160.40000000000003</v>
      </c>
      <c r="Y321">
        <v>157.4</v>
      </c>
      <c r="Z321">
        <v>167.2</v>
      </c>
      <c r="AA321">
        <v>153.1</v>
      </c>
      <c r="AB321">
        <v>159.5</v>
      </c>
      <c r="AC321">
        <v>162</v>
      </c>
      <c r="AD321">
        <v>164.2</v>
      </c>
      <c r="AE321">
        <v>159.4</v>
      </c>
      <c r="AF321">
        <v>165.5</v>
      </c>
    </row>
    <row r="322" spans="1:32" x14ac:dyDescent="0.3">
      <c r="A322" t="s">
        <v>54</v>
      </c>
      <c r="B322">
        <v>2022</v>
      </c>
      <c r="C322" t="s">
        <v>55</v>
      </c>
      <c r="D322">
        <f t="shared" si="8"/>
        <v>166.24615384615387</v>
      </c>
      <c r="E322">
        <v>150</v>
      </c>
      <c r="F322">
        <v>200.6</v>
      </c>
      <c r="G322">
        <v>175.8</v>
      </c>
      <c r="H322">
        <v>160.69999999999999</v>
      </c>
      <c r="I322">
        <v>184.9</v>
      </c>
      <c r="J322">
        <v>153.69999999999999</v>
      </c>
      <c r="K322">
        <v>169.7</v>
      </c>
      <c r="L322">
        <v>163.69999999999999</v>
      </c>
      <c r="M322">
        <v>118.9</v>
      </c>
      <c r="N322">
        <v>174.3</v>
      </c>
      <c r="O322">
        <v>164.7</v>
      </c>
      <c r="P322">
        <v>178</v>
      </c>
      <c r="Q322">
        <v>166.2</v>
      </c>
      <c r="R322">
        <v>192.8</v>
      </c>
      <c r="S322">
        <v>170.8</v>
      </c>
      <c r="T322">
        <v>162.4</v>
      </c>
      <c r="U322">
        <v>169.6</v>
      </c>
      <c r="V322">
        <v>165.5</v>
      </c>
      <c r="W322">
        <v>165.7</v>
      </c>
      <c r="X322">
        <f t="shared" si="9"/>
        <v>163.75714285714284</v>
      </c>
      <c r="Y322">
        <v>161.80000000000001</v>
      </c>
      <c r="Z322">
        <v>172.2</v>
      </c>
      <c r="AA322">
        <v>156.9</v>
      </c>
      <c r="AB322">
        <v>162.1</v>
      </c>
      <c r="AC322">
        <v>165.4</v>
      </c>
      <c r="AD322">
        <v>164.4</v>
      </c>
      <c r="AE322">
        <v>163.5</v>
      </c>
      <c r="AF322">
        <v>166.1</v>
      </c>
    </row>
    <row r="323" spans="1:32" x14ac:dyDescent="0.3">
      <c r="A323" t="s">
        <v>50</v>
      </c>
      <c r="B323">
        <v>2022</v>
      </c>
      <c r="C323" t="s">
        <v>56</v>
      </c>
      <c r="D323">
        <f t="shared" ref="D323:D367" si="10">AVERAGE(E323:Q323)</f>
        <v>167.62307692307695</v>
      </c>
      <c r="E323">
        <v>150.19999999999999</v>
      </c>
      <c r="F323">
        <v>208</v>
      </c>
      <c r="G323">
        <v>167.9</v>
      </c>
      <c r="H323">
        <v>162</v>
      </c>
      <c r="I323">
        <v>203.1</v>
      </c>
      <c r="J323">
        <v>155.9</v>
      </c>
      <c r="K323">
        <v>155.80000000000001</v>
      </c>
      <c r="L323">
        <v>164.2</v>
      </c>
      <c r="M323">
        <v>118.1</v>
      </c>
      <c r="N323">
        <v>178.7</v>
      </c>
      <c r="O323">
        <v>171.2</v>
      </c>
      <c r="P323">
        <v>177.4</v>
      </c>
      <c r="Q323">
        <v>166.6</v>
      </c>
      <c r="R323">
        <v>192.3</v>
      </c>
      <c r="S323">
        <v>175.4</v>
      </c>
      <c r="T323">
        <v>173.2</v>
      </c>
      <c r="U323">
        <v>175.1</v>
      </c>
      <c r="V323">
        <f>AVERAGE(V321:V322)</f>
        <v>165.5</v>
      </c>
      <c r="W323">
        <v>168.9</v>
      </c>
      <c r="X323">
        <f t="shared" ref="X323:X367" si="11">AVERAGE(Y323:AE323)</f>
        <v>168.20000000000002</v>
      </c>
      <c r="Y323">
        <v>166.5</v>
      </c>
      <c r="Z323">
        <v>176</v>
      </c>
      <c r="AA323">
        <v>162</v>
      </c>
      <c r="AB323">
        <v>166.6</v>
      </c>
      <c r="AC323">
        <v>170.6</v>
      </c>
      <c r="AD323">
        <v>167.4</v>
      </c>
      <c r="AE323">
        <v>168.3</v>
      </c>
      <c r="AF323">
        <v>168.7</v>
      </c>
    </row>
    <row r="324" spans="1:32" x14ac:dyDescent="0.3">
      <c r="A324" t="s">
        <v>53</v>
      </c>
      <c r="B324">
        <v>2022</v>
      </c>
      <c r="C324" t="s">
        <v>56</v>
      </c>
      <c r="D324">
        <f t="shared" si="10"/>
        <v>168.94615384615386</v>
      </c>
      <c r="E324">
        <v>153.69999999999999</v>
      </c>
      <c r="F324">
        <v>215.8</v>
      </c>
      <c r="G324">
        <v>167.7</v>
      </c>
      <c r="H324">
        <v>162.6</v>
      </c>
      <c r="I324">
        <v>180</v>
      </c>
      <c r="J324">
        <v>159.6</v>
      </c>
      <c r="K324">
        <v>188.4</v>
      </c>
      <c r="L324">
        <v>163.4</v>
      </c>
      <c r="M324">
        <v>120.3</v>
      </c>
      <c r="N324">
        <v>174.7</v>
      </c>
      <c r="O324">
        <v>157.1</v>
      </c>
      <c r="P324">
        <v>181.5</v>
      </c>
      <c r="Q324">
        <v>171.5</v>
      </c>
      <c r="R324">
        <v>197.5</v>
      </c>
      <c r="S324">
        <v>167.1</v>
      </c>
      <c r="T324">
        <v>152.6</v>
      </c>
      <c r="U324">
        <v>164.9</v>
      </c>
      <c r="V324">
        <v>165.3</v>
      </c>
      <c r="W324">
        <v>164.5</v>
      </c>
      <c r="X324">
        <f t="shared" si="11"/>
        <v>161.69999999999999</v>
      </c>
      <c r="Y324">
        <v>158.6</v>
      </c>
      <c r="Z324">
        <v>168.2</v>
      </c>
      <c r="AA324">
        <v>154.19999999999999</v>
      </c>
      <c r="AB324">
        <v>160.80000000000001</v>
      </c>
      <c r="AC324">
        <v>162.69999999999999</v>
      </c>
      <c r="AD324">
        <v>166.8</v>
      </c>
      <c r="AE324">
        <v>160.6</v>
      </c>
      <c r="AF324">
        <v>166.5</v>
      </c>
    </row>
    <row r="325" spans="1:32" x14ac:dyDescent="0.3">
      <c r="A325" t="s">
        <v>54</v>
      </c>
      <c r="B325">
        <v>2022</v>
      </c>
      <c r="C325" t="s">
        <v>56</v>
      </c>
      <c r="D325">
        <f t="shared" si="10"/>
        <v>168.01538461538465</v>
      </c>
      <c r="E325">
        <v>151.30000000000001</v>
      </c>
      <c r="F325">
        <v>210.7</v>
      </c>
      <c r="G325">
        <v>167.8</v>
      </c>
      <c r="H325">
        <v>162.19999999999999</v>
      </c>
      <c r="I325">
        <v>194.6</v>
      </c>
      <c r="J325">
        <v>157.6</v>
      </c>
      <c r="K325">
        <v>166.9</v>
      </c>
      <c r="L325">
        <v>163.9</v>
      </c>
      <c r="M325">
        <v>118.8</v>
      </c>
      <c r="N325">
        <v>177.4</v>
      </c>
      <c r="O325">
        <v>165.3</v>
      </c>
      <c r="P325">
        <v>179.3</v>
      </c>
      <c r="Q325">
        <v>168.4</v>
      </c>
      <c r="R325">
        <v>193.7</v>
      </c>
      <c r="S325">
        <v>172.1</v>
      </c>
      <c r="T325">
        <v>164.6</v>
      </c>
      <c r="U325">
        <v>171.1</v>
      </c>
      <c r="V325">
        <v>165.3</v>
      </c>
      <c r="W325">
        <v>167.2</v>
      </c>
      <c r="X325">
        <f t="shared" si="11"/>
        <v>164.97142857142856</v>
      </c>
      <c r="Y325">
        <v>162.80000000000001</v>
      </c>
      <c r="Z325">
        <v>173</v>
      </c>
      <c r="AA325">
        <v>157.9</v>
      </c>
      <c r="AB325">
        <v>163.30000000000001</v>
      </c>
      <c r="AC325">
        <v>166</v>
      </c>
      <c r="AD325">
        <v>167.2</v>
      </c>
      <c r="AE325">
        <v>164.6</v>
      </c>
      <c r="AF325">
        <v>167.7</v>
      </c>
    </row>
    <row r="326" spans="1:32" x14ac:dyDescent="0.3">
      <c r="A326" t="s">
        <v>50</v>
      </c>
      <c r="B326">
        <v>2022</v>
      </c>
      <c r="C326" t="s">
        <v>57</v>
      </c>
      <c r="D326">
        <f t="shared" si="10"/>
        <v>169.73846153846154</v>
      </c>
      <c r="E326">
        <v>151.80000000000001</v>
      </c>
      <c r="F326">
        <v>209.7</v>
      </c>
      <c r="G326">
        <v>164.5</v>
      </c>
      <c r="H326">
        <v>163.80000000000001</v>
      </c>
      <c r="I326">
        <v>207.4</v>
      </c>
      <c r="J326">
        <v>169.7</v>
      </c>
      <c r="K326">
        <v>153.6</v>
      </c>
      <c r="L326">
        <v>165.1</v>
      </c>
      <c r="M326">
        <v>118.2</v>
      </c>
      <c r="N326">
        <v>182.9</v>
      </c>
      <c r="O326">
        <v>172.4</v>
      </c>
      <c r="P326">
        <v>178.9</v>
      </c>
      <c r="Q326">
        <v>168.6</v>
      </c>
      <c r="R326">
        <v>192.8</v>
      </c>
      <c r="S326">
        <v>177.5</v>
      </c>
      <c r="T326">
        <v>175.1</v>
      </c>
      <c r="U326">
        <v>177.1</v>
      </c>
      <c r="V326">
        <f>AVERAGE(V324:V325)</f>
        <v>165.3</v>
      </c>
      <c r="W326">
        <v>173.3</v>
      </c>
      <c r="X326">
        <f t="shared" si="11"/>
        <v>169.7428571428571</v>
      </c>
      <c r="Y326">
        <v>167.7</v>
      </c>
      <c r="Z326">
        <v>177</v>
      </c>
      <c r="AA326">
        <v>166.2</v>
      </c>
      <c r="AB326">
        <v>167.2</v>
      </c>
      <c r="AC326">
        <v>170.9</v>
      </c>
      <c r="AD326">
        <v>169</v>
      </c>
      <c r="AE326">
        <v>170.2</v>
      </c>
      <c r="AF326">
        <v>170.8</v>
      </c>
    </row>
    <row r="327" spans="1:32" x14ac:dyDescent="0.3">
      <c r="A327" t="s">
        <v>53</v>
      </c>
      <c r="B327">
        <v>2022</v>
      </c>
      <c r="C327" t="s">
        <v>57</v>
      </c>
      <c r="D327">
        <f t="shared" si="10"/>
        <v>171.56923076923078</v>
      </c>
      <c r="E327">
        <v>155.4</v>
      </c>
      <c r="F327">
        <v>215.8</v>
      </c>
      <c r="G327">
        <v>164.6</v>
      </c>
      <c r="H327">
        <v>164.2</v>
      </c>
      <c r="I327">
        <v>186</v>
      </c>
      <c r="J327">
        <v>175.9</v>
      </c>
      <c r="K327">
        <v>190.7</v>
      </c>
      <c r="L327">
        <v>164</v>
      </c>
      <c r="M327">
        <v>120.5</v>
      </c>
      <c r="N327">
        <v>178</v>
      </c>
      <c r="O327">
        <v>157.5</v>
      </c>
      <c r="P327">
        <v>183.3</v>
      </c>
      <c r="Q327">
        <v>174.5</v>
      </c>
      <c r="R327">
        <v>197.1</v>
      </c>
      <c r="S327">
        <v>168.4</v>
      </c>
      <c r="T327">
        <v>154.5</v>
      </c>
      <c r="U327">
        <v>166.3</v>
      </c>
      <c r="V327">
        <v>167</v>
      </c>
      <c r="W327">
        <v>170.5</v>
      </c>
      <c r="X327">
        <f t="shared" si="11"/>
        <v>163.68571428571428</v>
      </c>
      <c r="Y327">
        <v>159.80000000000001</v>
      </c>
      <c r="Z327">
        <v>169</v>
      </c>
      <c r="AA327">
        <v>159.30000000000001</v>
      </c>
      <c r="AB327">
        <v>162.19999999999999</v>
      </c>
      <c r="AC327">
        <v>164</v>
      </c>
      <c r="AD327">
        <v>168.4</v>
      </c>
      <c r="AE327">
        <v>163.1</v>
      </c>
      <c r="AF327">
        <v>169.2</v>
      </c>
    </row>
    <row r="328" spans="1:32" x14ac:dyDescent="0.3">
      <c r="A328" t="s">
        <v>54</v>
      </c>
      <c r="B328">
        <v>2022</v>
      </c>
      <c r="C328" t="s">
        <v>57</v>
      </c>
      <c r="D328">
        <f t="shared" si="10"/>
        <v>170.33076923076925</v>
      </c>
      <c r="E328">
        <v>152.9</v>
      </c>
      <c r="F328">
        <v>211.8</v>
      </c>
      <c r="G328">
        <v>164.5</v>
      </c>
      <c r="H328">
        <v>163.9</v>
      </c>
      <c r="I328">
        <v>199.5</v>
      </c>
      <c r="J328">
        <v>172.6</v>
      </c>
      <c r="K328">
        <v>166.2</v>
      </c>
      <c r="L328">
        <v>164.7</v>
      </c>
      <c r="M328">
        <v>119</v>
      </c>
      <c r="N328">
        <v>181.3</v>
      </c>
      <c r="O328">
        <v>166.2</v>
      </c>
      <c r="P328">
        <v>180.9</v>
      </c>
      <c r="Q328">
        <v>170.8</v>
      </c>
      <c r="R328">
        <v>193.9</v>
      </c>
      <c r="S328">
        <v>173.9</v>
      </c>
      <c r="T328">
        <v>166.5</v>
      </c>
      <c r="U328">
        <v>172.8</v>
      </c>
      <c r="V328">
        <v>167</v>
      </c>
      <c r="W328">
        <v>172.2</v>
      </c>
      <c r="X328">
        <f t="shared" si="11"/>
        <v>166.78571428571428</v>
      </c>
      <c r="Y328">
        <v>164</v>
      </c>
      <c r="Z328">
        <v>174</v>
      </c>
      <c r="AA328">
        <v>162.6</v>
      </c>
      <c r="AB328">
        <v>164.4</v>
      </c>
      <c r="AC328">
        <v>166.9</v>
      </c>
      <c r="AD328">
        <v>168.8</v>
      </c>
      <c r="AE328">
        <v>166.8</v>
      </c>
      <c r="AF328">
        <v>170.1</v>
      </c>
    </row>
    <row r="329" spans="1:32" x14ac:dyDescent="0.3">
      <c r="A329" t="s">
        <v>50</v>
      </c>
      <c r="B329">
        <v>2022</v>
      </c>
      <c r="C329" t="s">
        <v>58</v>
      </c>
      <c r="D329">
        <f t="shared" si="10"/>
        <v>171.2923076923077</v>
      </c>
      <c r="E329">
        <v>152.9</v>
      </c>
      <c r="F329">
        <v>214.7</v>
      </c>
      <c r="G329">
        <v>161.4</v>
      </c>
      <c r="H329">
        <v>164.6</v>
      </c>
      <c r="I329">
        <v>209.9</v>
      </c>
      <c r="J329">
        <v>168</v>
      </c>
      <c r="K329">
        <v>160.4</v>
      </c>
      <c r="L329">
        <v>165</v>
      </c>
      <c r="M329">
        <v>118.9</v>
      </c>
      <c r="N329">
        <v>186.6</v>
      </c>
      <c r="O329">
        <v>173.2</v>
      </c>
      <c r="P329">
        <v>180.4</v>
      </c>
      <c r="Q329">
        <v>170.8</v>
      </c>
      <c r="R329">
        <v>192.9</v>
      </c>
      <c r="S329">
        <v>179.3</v>
      </c>
      <c r="T329">
        <v>177.2</v>
      </c>
      <c r="U329">
        <v>179</v>
      </c>
      <c r="V329">
        <f>AVERAGE(V327:V328)</f>
        <v>167</v>
      </c>
      <c r="W329">
        <v>175.3</v>
      </c>
      <c r="X329">
        <f t="shared" si="11"/>
        <v>170.35714285714289</v>
      </c>
      <c r="Y329">
        <v>168.9</v>
      </c>
      <c r="Z329">
        <v>177.7</v>
      </c>
      <c r="AA329">
        <v>167.1</v>
      </c>
      <c r="AB329">
        <v>167.6</v>
      </c>
      <c r="AC329">
        <v>171.8</v>
      </c>
      <c r="AD329">
        <v>168.5</v>
      </c>
      <c r="AE329">
        <v>170.9</v>
      </c>
      <c r="AF329">
        <v>172.5</v>
      </c>
    </row>
    <row r="330" spans="1:32" x14ac:dyDescent="0.3">
      <c r="A330" t="s">
        <v>53</v>
      </c>
      <c r="B330">
        <v>2022</v>
      </c>
      <c r="C330" t="s">
        <v>58</v>
      </c>
      <c r="D330">
        <f t="shared" si="10"/>
        <v>174.01538461538465</v>
      </c>
      <c r="E330">
        <v>156.69999999999999</v>
      </c>
      <c r="F330">
        <v>221.2</v>
      </c>
      <c r="G330">
        <v>164.1</v>
      </c>
      <c r="H330">
        <v>165.4</v>
      </c>
      <c r="I330">
        <v>189.5</v>
      </c>
      <c r="J330">
        <v>174.5</v>
      </c>
      <c r="K330">
        <v>203.2</v>
      </c>
      <c r="L330">
        <v>164.1</v>
      </c>
      <c r="M330">
        <v>121.2</v>
      </c>
      <c r="N330">
        <v>181.4</v>
      </c>
      <c r="O330">
        <v>158.5</v>
      </c>
      <c r="P330">
        <v>184.9</v>
      </c>
      <c r="Q330">
        <v>177.5</v>
      </c>
      <c r="R330">
        <v>197.5</v>
      </c>
      <c r="S330">
        <v>170</v>
      </c>
      <c r="T330">
        <v>155.9</v>
      </c>
      <c r="U330">
        <v>167.8</v>
      </c>
      <c r="V330">
        <v>167.5</v>
      </c>
      <c r="W330">
        <v>173.5</v>
      </c>
      <c r="X330">
        <f t="shared" si="11"/>
        <v>164.42857142857142</v>
      </c>
      <c r="Y330">
        <v>161.1</v>
      </c>
      <c r="Z330">
        <v>170.1</v>
      </c>
      <c r="AA330">
        <v>159.4</v>
      </c>
      <c r="AB330">
        <v>163.19999999999999</v>
      </c>
      <c r="AC330">
        <v>165.2</v>
      </c>
      <c r="AD330">
        <v>168.2</v>
      </c>
      <c r="AE330">
        <v>163.80000000000001</v>
      </c>
      <c r="AF330">
        <v>170.8</v>
      </c>
    </row>
    <row r="331" spans="1:32" x14ac:dyDescent="0.3">
      <c r="A331" t="s">
        <v>54</v>
      </c>
      <c r="B331">
        <v>2022</v>
      </c>
      <c r="C331" t="s">
        <v>58</v>
      </c>
      <c r="D331">
        <f t="shared" si="10"/>
        <v>172.22307692307697</v>
      </c>
      <c r="E331">
        <v>154.1</v>
      </c>
      <c r="F331">
        <v>217</v>
      </c>
      <c r="G331">
        <v>162.4</v>
      </c>
      <c r="H331">
        <v>164.9</v>
      </c>
      <c r="I331">
        <v>202.4</v>
      </c>
      <c r="J331">
        <v>171</v>
      </c>
      <c r="K331">
        <v>174.9</v>
      </c>
      <c r="L331">
        <v>164.7</v>
      </c>
      <c r="M331">
        <v>119.7</v>
      </c>
      <c r="N331">
        <v>184.9</v>
      </c>
      <c r="O331">
        <v>167.1</v>
      </c>
      <c r="P331">
        <v>182.5</v>
      </c>
      <c r="Q331">
        <v>173.3</v>
      </c>
      <c r="R331">
        <v>194.1</v>
      </c>
      <c r="S331">
        <v>175.6</v>
      </c>
      <c r="T331">
        <v>168.4</v>
      </c>
      <c r="U331">
        <v>174.6</v>
      </c>
      <c r="V331">
        <v>167.5</v>
      </c>
      <c r="W331">
        <v>174.6</v>
      </c>
      <c r="X331">
        <f t="shared" si="11"/>
        <v>167.41428571428574</v>
      </c>
      <c r="Y331">
        <v>165.2</v>
      </c>
      <c r="Z331">
        <v>174.8</v>
      </c>
      <c r="AA331">
        <v>163</v>
      </c>
      <c r="AB331">
        <v>165.1</v>
      </c>
      <c r="AC331">
        <v>167.9</v>
      </c>
      <c r="AD331">
        <v>168.4</v>
      </c>
      <c r="AE331">
        <v>167.5</v>
      </c>
      <c r="AF331">
        <v>171.7</v>
      </c>
    </row>
    <row r="332" spans="1:32" x14ac:dyDescent="0.3">
      <c r="A332" t="s">
        <v>50</v>
      </c>
      <c r="B332">
        <v>2022</v>
      </c>
      <c r="C332" t="s">
        <v>59</v>
      </c>
      <c r="D332">
        <f t="shared" si="10"/>
        <v>172.94615384615386</v>
      </c>
      <c r="E332">
        <v>153.80000000000001</v>
      </c>
      <c r="F332">
        <v>217.2</v>
      </c>
      <c r="G332">
        <v>169.6</v>
      </c>
      <c r="H332">
        <v>165.4</v>
      </c>
      <c r="I332">
        <v>208.1</v>
      </c>
      <c r="J332">
        <v>165.8</v>
      </c>
      <c r="K332">
        <v>167.3</v>
      </c>
      <c r="L332">
        <v>164.6</v>
      </c>
      <c r="M332">
        <v>119.1</v>
      </c>
      <c r="N332">
        <v>188.9</v>
      </c>
      <c r="O332">
        <v>174.2</v>
      </c>
      <c r="P332">
        <v>181.9</v>
      </c>
      <c r="Q332">
        <v>172.4</v>
      </c>
      <c r="R332">
        <v>192.9</v>
      </c>
      <c r="S332">
        <v>180.7</v>
      </c>
      <c r="T332">
        <v>178.7</v>
      </c>
      <c r="U332">
        <v>180.4</v>
      </c>
      <c r="V332">
        <f>AVERAGE(V330:V331)</f>
        <v>167.5</v>
      </c>
      <c r="W332">
        <v>176.7</v>
      </c>
      <c r="X332">
        <f t="shared" si="11"/>
        <v>170.72857142857143</v>
      </c>
      <c r="Y332">
        <v>170.3</v>
      </c>
      <c r="Z332">
        <v>178.2</v>
      </c>
      <c r="AA332">
        <v>165.5</v>
      </c>
      <c r="AB332">
        <v>168</v>
      </c>
      <c r="AC332">
        <v>172.6</v>
      </c>
      <c r="AD332">
        <v>169.5</v>
      </c>
      <c r="AE332">
        <v>171</v>
      </c>
      <c r="AF332">
        <v>173.6</v>
      </c>
    </row>
    <row r="333" spans="1:32" x14ac:dyDescent="0.3">
      <c r="A333" t="s">
        <v>53</v>
      </c>
      <c r="B333">
        <v>2022</v>
      </c>
      <c r="C333" t="s">
        <v>59</v>
      </c>
      <c r="D333">
        <f t="shared" si="10"/>
        <v>175.96153846153845</v>
      </c>
      <c r="E333">
        <v>157.5</v>
      </c>
      <c r="F333">
        <v>223.4</v>
      </c>
      <c r="G333">
        <v>172.8</v>
      </c>
      <c r="H333">
        <v>166.4</v>
      </c>
      <c r="I333">
        <v>188.6</v>
      </c>
      <c r="J333">
        <v>174.1</v>
      </c>
      <c r="K333">
        <v>211.5</v>
      </c>
      <c r="L333">
        <v>163.6</v>
      </c>
      <c r="M333">
        <v>121.4</v>
      </c>
      <c r="N333">
        <v>183.5</v>
      </c>
      <c r="O333">
        <v>159.1</v>
      </c>
      <c r="P333">
        <v>186.3</v>
      </c>
      <c r="Q333">
        <v>179.3</v>
      </c>
      <c r="R333">
        <v>198.3</v>
      </c>
      <c r="S333">
        <v>171.6</v>
      </c>
      <c r="T333">
        <v>157.4</v>
      </c>
      <c r="U333">
        <v>169.4</v>
      </c>
      <c r="V333">
        <v>166.8</v>
      </c>
      <c r="W333">
        <v>174.9</v>
      </c>
      <c r="X333">
        <f t="shared" si="11"/>
        <v>164.82857142857142</v>
      </c>
      <c r="Y333">
        <v>162.1</v>
      </c>
      <c r="Z333">
        <v>170.9</v>
      </c>
      <c r="AA333">
        <v>157.19999999999999</v>
      </c>
      <c r="AB333">
        <v>164.1</v>
      </c>
      <c r="AC333">
        <v>166.5</v>
      </c>
      <c r="AD333">
        <v>169.2</v>
      </c>
      <c r="AE333">
        <v>163.80000000000001</v>
      </c>
      <c r="AF333">
        <v>171.4</v>
      </c>
    </row>
    <row r="334" spans="1:32" x14ac:dyDescent="0.3">
      <c r="A334" t="s">
        <v>54</v>
      </c>
      <c r="B334">
        <v>2022</v>
      </c>
      <c r="C334" t="s">
        <v>59</v>
      </c>
      <c r="D334">
        <f t="shared" si="10"/>
        <v>173.99230769230769</v>
      </c>
      <c r="E334">
        <v>155</v>
      </c>
      <c r="F334">
        <v>219.4</v>
      </c>
      <c r="G334">
        <v>170.8</v>
      </c>
      <c r="H334">
        <v>165.8</v>
      </c>
      <c r="I334">
        <v>200.9</v>
      </c>
      <c r="J334">
        <v>169.7</v>
      </c>
      <c r="K334">
        <v>182.3</v>
      </c>
      <c r="L334">
        <v>164.3</v>
      </c>
      <c r="M334">
        <v>119.9</v>
      </c>
      <c r="N334">
        <v>187.1</v>
      </c>
      <c r="O334">
        <v>167.9</v>
      </c>
      <c r="P334">
        <v>183.9</v>
      </c>
      <c r="Q334">
        <v>174.9</v>
      </c>
      <c r="R334">
        <v>194.3</v>
      </c>
      <c r="S334">
        <v>177.1</v>
      </c>
      <c r="T334">
        <v>169.9</v>
      </c>
      <c r="U334">
        <v>176</v>
      </c>
      <c r="V334">
        <v>166.8</v>
      </c>
      <c r="W334">
        <v>176</v>
      </c>
      <c r="X334">
        <f t="shared" si="11"/>
        <v>167.79999999999998</v>
      </c>
      <c r="Y334">
        <v>166.4</v>
      </c>
      <c r="Z334">
        <v>175.4</v>
      </c>
      <c r="AA334">
        <v>161.1</v>
      </c>
      <c r="AB334">
        <v>165.8</v>
      </c>
      <c r="AC334">
        <v>169</v>
      </c>
      <c r="AD334">
        <v>169.4</v>
      </c>
      <c r="AE334">
        <v>167.5</v>
      </c>
      <c r="AF334">
        <v>172.6</v>
      </c>
    </row>
    <row r="335" spans="1:32" x14ac:dyDescent="0.3">
      <c r="A335" t="s">
        <v>50</v>
      </c>
      <c r="B335">
        <v>2022</v>
      </c>
      <c r="C335" t="s">
        <v>60</v>
      </c>
      <c r="D335">
        <f t="shared" si="10"/>
        <v>173.26923076923077</v>
      </c>
      <c r="E335">
        <v>155.19999999999999</v>
      </c>
      <c r="F335">
        <v>210.8</v>
      </c>
      <c r="G335">
        <v>174.3</v>
      </c>
      <c r="H335">
        <v>166.3</v>
      </c>
      <c r="I335">
        <v>202.2</v>
      </c>
      <c r="J335">
        <v>169.6</v>
      </c>
      <c r="K335">
        <v>168.6</v>
      </c>
      <c r="L335">
        <v>164.4</v>
      </c>
      <c r="M335">
        <v>119.2</v>
      </c>
      <c r="N335">
        <v>191.8</v>
      </c>
      <c r="O335">
        <v>174.5</v>
      </c>
      <c r="P335">
        <v>183.1</v>
      </c>
      <c r="Q335">
        <v>172.5</v>
      </c>
      <c r="R335">
        <v>193.2</v>
      </c>
      <c r="S335">
        <v>182</v>
      </c>
      <c r="T335">
        <v>180.3</v>
      </c>
      <c r="U335">
        <v>181.7</v>
      </c>
      <c r="V335">
        <f>AVERAGE(V333:V334)</f>
        <v>166.8</v>
      </c>
      <c r="W335">
        <v>179.6</v>
      </c>
      <c r="X335">
        <f t="shared" si="11"/>
        <v>171.6</v>
      </c>
      <c r="Y335">
        <v>171.3</v>
      </c>
      <c r="Z335">
        <v>178.8</v>
      </c>
      <c r="AA335">
        <v>166.3</v>
      </c>
      <c r="AB335">
        <v>168.6</v>
      </c>
      <c r="AC335">
        <v>174.7</v>
      </c>
      <c r="AD335">
        <v>169.7</v>
      </c>
      <c r="AE335">
        <v>171.8</v>
      </c>
      <c r="AF335">
        <v>174.3</v>
      </c>
    </row>
    <row r="336" spans="1:32" x14ac:dyDescent="0.3">
      <c r="A336" t="s">
        <v>53</v>
      </c>
      <c r="B336">
        <v>2022</v>
      </c>
      <c r="C336" t="s">
        <v>60</v>
      </c>
      <c r="D336">
        <f t="shared" si="10"/>
        <v>176.27692307692308</v>
      </c>
      <c r="E336">
        <v>159.30000000000001</v>
      </c>
      <c r="F336">
        <v>217.1</v>
      </c>
      <c r="G336">
        <v>176.6</v>
      </c>
      <c r="H336">
        <v>167.1</v>
      </c>
      <c r="I336">
        <v>184.8</v>
      </c>
      <c r="J336">
        <v>179.5</v>
      </c>
      <c r="K336">
        <v>208.5</v>
      </c>
      <c r="L336">
        <v>164</v>
      </c>
      <c r="M336">
        <v>121.5</v>
      </c>
      <c r="N336">
        <v>186.3</v>
      </c>
      <c r="O336">
        <v>159.80000000000001</v>
      </c>
      <c r="P336">
        <v>187.7</v>
      </c>
      <c r="Q336">
        <v>179.4</v>
      </c>
      <c r="R336">
        <v>198.6</v>
      </c>
      <c r="S336">
        <v>172.7</v>
      </c>
      <c r="T336">
        <v>158.69999999999999</v>
      </c>
      <c r="U336">
        <v>170.6</v>
      </c>
      <c r="V336">
        <v>167.8</v>
      </c>
      <c r="W336">
        <v>179.5</v>
      </c>
      <c r="X336">
        <f t="shared" si="11"/>
        <v>165.77142857142857</v>
      </c>
      <c r="Y336">
        <v>163.1</v>
      </c>
      <c r="Z336">
        <v>171.7</v>
      </c>
      <c r="AA336">
        <v>157.4</v>
      </c>
      <c r="AB336">
        <v>164.6</v>
      </c>
      <c r="AC336">
        <v>169.1</v>
      </c>
      <c r="AD336">
        <v>169.8</v>
      </c>
      <c r="AE336">
        <v>164.7</v>
      </c>
      <c r="AF336">
        <v>172.3</v>
      </c>
    </row>
    <row r="337" spans="1:32" x14ac:dyDescent="0.3">
      <c r="A337" t="s">
        <v>54</v>
      </c>
      <c r="B337">
        <v>2022</v>
      </c>
      <c r="C337" t="s">
        <v>60</v>
      </c>
      <c r="D337">
        <f t="shared" si="10"/>
        <v>174.33076923076925</v>
      </c>
      <c r="E337">
        <v>156.5</v>
      </c>
      <c r="F337">
        <v>213</v>
      </c>
      <c r="G337">
        <v>175.2</v>
      </c>
      <c r="H337">
        <v>166.6</v>
      </c>
      <c r="I337">
        <v>195.8</v>
      </c>
      <c r="J337">
        <v>174.2</v>
      </c>
      <c r="K337">
        <v>182.1</v>
      </c>
      <c r="L337">
        <v>164.3</v>
      </c>
      <c r="M337">
        <v>120</v>
      </c>
      <c r="N337">
        <v>190</v>
      </c>
      <c r="O337">
        <v>168.4</v>
      </c>
      <c r="P337">
        <v>185.2</v>
      </c>
      <c r="Q337">
        <v>175</v>
      </c>
      <c r="R337">
        <v>194.6</v>
      </c>
      <c r="S337">
        <v>178.3</v>
      </c>
      <c r="T337">
        <v>171.3</v>
      </c>
      <c r="U337">
        <v>177.3</v>
      </c>
      <c r="V337">
        <v>167.8</v>
      </c>
      <c r="W337">
        <v>179.6</v>
      </c>
      <c r="X337">
        <f t="shared" si="11"/>
        <v>168.70000000000002</v>
      </c>
      <c r="Y337">
        <v>167.4</v>
      </c>
      <c r="Z337">
        <v>176.1</v>
      </c>
      <c r="AA337">
        <v>161.6</v>
      </c>
      <c r="AB337">
        <v>166.3</v>
      </c>
      <c r="AC337">
        <v>171.4</v>
      </c>
      <c r="AD337">
        <v>169.7</v>
      </c>
      <c r="AE337">
        <v>168.4</v>
      </c>
      <c r="AF337">
        <v>173.4</v>
      </c>
    </row>
    <row r="338" spans="1:32" x14ac:dyDescent="0.3">
      <c r="A338" t="s">
        <v>50</v>
      </c>
      <c r="B338">
        <v>2022</v>
      </c>
      <c r="C338" t="s">
        <v>61</v>
      </c>
      <c r="D338">
        <f t="shared" si="10"/>
        <v>173.5230769230769</v>
      </c>
      <c r="E338">
        <v>159.5</v>
      </c>
      <c r="F338">
        <v>204.1</v>
      </c>
      <c r="G338">
        <v>168.3</v>
      </c>
      <c r="H338">
        <v>167.9</v>
      </c>
      <c r="I338">
        <v>198.1</v>
      </c>
      <c r="J338">
        <v>169.2</v>
      </c>
      <c r="K338">
        <v>173.1</v>
      </c>
      <c r="L338">
        <v>167.1</v>
      </c>
      <c r="M338">
        <v>120.2</v>
      </c>
      <c r="N338">
        <v>195.6</v>
      </c>
      <c r="O338">
        <v>174.8</v>
      </c>
      <c r="P338">
        <v>184</v>
      </c>
      <c r="Q338">
        <v>173.9</v>
      </c>
      <c r="R338">
        <v>193.7</v>
      </c>
      <c r="S338">
        <v>183.2</v>
      </c>
      <c r="T338">
        <v>181.7</v>
      </c>
      <c r="U338">
        <v>183</v>
      </c>
      <c r="V338">
        <f>AVERAGE(V336:V337)</f>
        <v>167.8</v>
      </c>
      <c r="W338">
        <v>179.1</v>
      </c>
      <c r="X338">
        <f t="shared" si="11"/>
        <v>172.42857142857142</v>
      </c>
      <c r="Y338">
        <v>172.3</v>
      </c>
      <c r="Z338">
        <v>179.4</v>
      </c>
      <c r="AA338">
        <v>166.6</v>
      </c>
      <c r="AB338">
        <v>169.3</v>
      </c>
      <c r="AC338">
        <v>175.7</v>
      </c>
      <c r="AD338">
        <v>171.1</v>
      </c>
      <c r="AE338">
        <v>172.6</v>
      </c>
      <c r="AF338">
        <v>175.3</v>
      </c>
    </row>
    <row r="339" spans="1:32" x14ac:dyDescent="0.3">
      <c r="A339" t="s">
        <v>53</v>
      </c>
      <c r="B339">
        <v>2022</v>
      </c>
      <c r="C339" t="s">
        <v>61</v>
      </c>
      <c r="D339">
        <f t="shared" si="10"/>
        <v>176.43846153846152</v>
      </c>
      <c r="E339">
        <v>162.1</v>
      </c>
      <c r="F339">
        <v>210.9</v>
      </c>
      <c r="G339">
        <v>170.6</v>
      </c>
      <c r="H339">
        <v>168.4</v>
      </c>
      <c r="I339">
        <v>182.5</v>
      </c>
      <c r="J339">
        <v>177.1</v>
      </c>
      <c r="K339">
        <v>213.1</v>
      </c>
      <c r="L339">
        <v>167.3</v>
      </c>
      <c r="M339">
        <v>122.2</v>
      </c>
      <c r="N339">
        <v>189.7</v>
      </c>
      <c r="O339">
        <v>160.5</v>
      </c>
      <c r="P339">
        <v>188.9</v>
      </c>
      <c r="Q339">
        <v>180.4</v>
      </c>
      <c r="R339">
        <v>198.7</v>
      </c>
      <c r="S339">
        <v>173.7</v>
      </c>
      <c r="T339">
        <v>160</v>
      </c>
      <c r="U339">
        <v>171.6</v>
      </c>
      <c r="V339">
        <v>169</v>
      </c>
      <c r="W339">
        <v>178.4</v>
      </c>
      <c r="X339">
        <f t="shared" si="11"/>
        <v>166.6142857142857</v>
      </c>
      <c r="Y339">
        <v>164.2</v>
      </c>
      <c r="Z339">
        <v>172.6</v>
      </c>
      <c r="AA339">
        <v>157.69999999999999</v>
      </c>
      <c r="AB339">
        <v>165.1</v>
      </c>
      <c r="AC339">
        <v>169.9</v>
      </c>
      <c r="AD339">
        <v>171.4</v>
      </c>
      <c r="AE339">
        <v>165.4</v>
      </c>
      <c r="AF339">
        <v>173.1</v>
      </c>
    </row>
    <row r="340" spans="1:32" x14ac:dyDescent="0.3">
      <c r="A340" t="s">
        <v>54</v>
      </c>
      <c r="B340">
        <v>2022</v>
      </c>
      <c r="C340" t="s">
        <v>61</v>
      </c>
      <c r="D340">
        <f t="shared" si="10"/>
        <v>174.55384615384617</v>
      </c>
      <c r="E340">
        <v>160.30000000000001</v>
      </c>
      <c r="F340">
        <v>206.5</v>
      </c>
      <c r="G340">
        <v>169.2</v>
      </c>
      <c r="H340">
        <v>168.1</v>
      </c>
      <c r="I340">
        <v>192.4</v>
      </c>
      <c r="J340">
        <v>172.9</v>
      </c>
      <c r="K340">
        <v>186.7</v>
      </c>
      <c r="L340">
        <v>167.2</v>
      </c>
      <c r="M340">
        <v>120.9</v>
      </c>
      <c r="N340">
        <v>193.6</v>
      </c>
      <c r="O340">
        <v>168.8</v>
      </c>
      <c r="P340">
        <v>186.3</v>
      </c>
      <c r="Q340">
        <v>176.3</v>
      </c>
      <c r="R340">
        <v>195</v>
      </c>
      <c r="S340">
        <v>179.5</v>
      </c>
      <c r="T340">
        <v>172.7</v>
      </c>
      <c r="U340">
        <v>178.5</v>
      </c>
      <c r="V340">
        <v>169</v>
      </c>
      <c r="W340">
        <v>178.8</v>
      </c>
      <c r="X340">
        <f t="shared" si="11"/>
        <v>169.52857142857144</v>
      </c>
      <c r="Y340">
        <v>168.5</v>
      </c>
      <c r="Z340">
        <v>176.8</v>
      </c>
      <c r="AA340">
        <v>161.9</v>
      </c>
      <c r="AB340">
        <v>166.9</v>
      </c>
      <c r="AC340">
        <v>172.3</v>
      </c>
      <c r="AD340">
        <v>171.2</v>
      </c>
      <c r="AE340">
        <v>169.1</v>
      </c>
      <c r="AF340">
        <v>174.3</v>
      </c>
    </row>
    <row r="341" spans="1:32" x14ac:dyDescent="0.3">
      <c r="A341" t="s">
        <v>50</v>
      </c>
      <c r="B341">
        <v>2022</v>
      </c>
      <c r="C341" t="s">
        <v>62</v>
      </c>
      <c r="D341">
        <f t="shared" si="10"/>
        <v>174.44615384615386</v>
      </c>
      <c r="E341">
        <v>162.9</v>
      </c>
      <c r="F341">
        <v>206.7</v>
      </c>
      <c r="G341">
        <v>169</v>
      </c>
      <c r="H341">
        <v>169.5</v>
      </c>
      <c r="I341">
        <v>194.1</v>
      </c>
      <c r="J341">
        <v>164.1</v>
      </c>
      <c r="K341">
        <v>176.9</v>
      </c>
      <c r="L341">
        <v>169</v>
      </c>
      <c r="M341">
        <v>120.8</v>
      </c>
      <c r="N341">
        <v>199.1</v>
      </c>
      <c r="O341">
        <v>175.4</v>
      </c>
      <c r="P341">
        <v>184.8</v>
      </c>
      <c r="Q341">
        <v>175.5</v>
      </c>
      <c r="R341">
        <v>194.5</v>
      </c>
      <c r="S341">
        <v>184.7</v>
      </c>
      <c r="T341">
        <v>183.3</v>
      </c>
      <c r="U341">
        <v>184.5</v>
      </c>
      <c r="V341">
        <f>AVERAGE(V339:V340)</f>
        <v>169</v>
      </c>
      <c r="W341">
        <v>179.7</v>
      </c>
      <c r="X341">
        <f t="shared" si="11"/>
        <v>172.97142857142853</v>
      </c>
      <c r="Y341">
        <v>173.6</v>
      </c>
      <c r="Z341">
        <v>180.2</v>
      </c>
      <c r="AA341">
        <v>166.9</v>
      </c>
      <c r="AB341">
        <v>170</v>
      </c>
      <c r="AC341">
        <v>176.2</v>
      </c>
      <c r="AD341">
        <v>170.8</v>
      </c>
      <c r="AE341">
        <v>173.1</v>
      </c>
      <c r="AF341">
        <v>176.4</v>
      </c>
    </row>
    <row r="342" spans="1:32" x14ac:dyDescent="0.3">
      <c r="A342" t="s">
        <v>53</v>
      </c>
      <c r="B342">
        <v>2022</v>
      </c>
      <c r="C342" t="s">
        <v>62</v>
      </c>
      <c r="D342">
        <f t="shared" si="10"/>
        <v>177.41538461538462</v>
      </c>
      <c r="E342">
        <v>164.9</v>
      </c>
      <c r="F342">
        <v>213.7</v>
      </c>
      <c r="G342">
        <v>170.9</v>
      </c>
      <c r="H342">
        <v>170.1</v>
      </c>
      <c r="I342">
        <v>179.3</v>
      </c>
      <c r="J342">
        <v>167.5</v>
      </c>
      <c r="K342">
        <v>220.8</v>
      </c>
      <c r="L342">
        <v>169.2</v>
      </c>
      <c r="M342">
        <v>123.1</v>
      </c>
      <c r="N342">
        <v>193.6</v>
      </c>
      <c r="O342">
        <v>161.1</v>
      </c>
      <c r="P342">
        <v>190.4</v>
      </c>
      <c r="Q342">
        <v>181.8</v>
      </c>
      <c r="R342">
        <v>199.7</v>
      </c>
      <c r="S342">
        <v>175</v>
      </c>
      <c r="T342">
        <v>161.69999999999999</v>
      </c>
      <c r="U342">
        <v>173</v>
      </c>
      <c r="V342">
        <v>169.5</v>
      </c>
      <c r="W342">
        <v>179.2</v>
      </c>
      <c r="X342">
        <f t="shared" si="11"/>
        <v>167.27142857142854</v>
      </c>
      <c r="Y342">
        <v>165</v>
      </c>
      <c r="Z342">
        <v>173.8</v>
      </c>
      <c r="AA342">
        <v>158.19999999999999</v>
      </c>
      <c r="AB342">
        <v>165.8</v>
      </c>
      <c r="AC342">
        <v>170.9</v>
      </c>
      <c r="AD342">
        <v>171.1</v>
      </c>
      <c r="AE342">
        <v>166.1</v>
      </c>
      <c r="AF342">
        <v>174.1</v>
      </c>
    </row>
    <row r="343" spans="1:32" x14ac:dyDescent="0.3">
      <c r="A343" t="s">
        <v>54</v>
      </c>
      <c r="B343">
        <v>2022</v>
      </c>
      <c r="C343" t="s">
        <v>62</v>
      </c>
      <c r="D343">
        <f t="shared" si="10"/>
        <v>175.45384615384617</v>
      </c>
      <c r="E343">
        <v>163.5</v>
      </c>
      <c r="F343">
        <v>209.2</v>
      </c>
      <c r="G343">
        <v>169.7</v>
      </c>
      <c r="H343">
        <v>169.7</v>
      </c>
      <c r="I343">
        <v>188.7</v>
      </c>
      <c r="J343">
        <v>165.7</v>
      </c>
      <c r="K343">
        <v>191.8</v>
      </c>
      <c r="L343">
        <v>169.1</v>
      </c>
      <c r="M343">
        <v>121.6</v>
      </c>
      <c r="N343">
        <v>197.3</v>
      </c>
      <c r="O343">
        <v>169.4</v>
      </c>
      <c r="P343">
        <v>187.4</v>
      </c>
      <c r="Q343">
        <v>177.8</v>
      </c>
      <c r="R343">
        <v>195.9</v>
      </c>
      <c r="S343">
        <v>180.9</v>
      </c>
      <c r="T343">
        <v>174.3</v>
      </c>
      <c r="U343">
        <v>179.9</v>
      </c>
      <c r="V343">
        <v>169.5</v>
      </c>
      <c r="W343">
        <v>179.5</v>
      </c>
      <c r="X343">
        <f t="shared" si="11"/>
        <v>170.12857142857143</v>
      </c>
      <c r="Y343">
        <v>169.5</v>
      </c>
      <c r="Z343">
        <v>177.8</v>
      </c>
      <c r="AA343">
        <v>162.30000000000001</v>
      </c>
      <c r="AB343">
        <v>167.6</v>
      </c>
      <c r="AC343">
        <v>173.1</v>
      </c>
      <c r="AD343">
        <v>170.9</v>
      </c>
      <c r="AE343">
        <v>169.7</v>
      </c>
      <c r="AF343">
        <v>175.3</v>
      </c>
    </row>
    <row r="344" spans="1:32" x14ac:dyDescent="0.3">
      <c r="A344" t="s">
        <v>50</v>
      </c>
      <c r="B344">
        <v>2022</v>
      </c>
      <c r="C344" t="s">
        <v>63</v>
      </c>
      <c r="D344">
        <f t="shared" si="10"/>
        <v>175.73076923076923</v>
      </c>
      <c r="E344">
        <v>164.7</v>
      </c>
      <c r="F344">
        <v>208.8</v>
      </c>
      <c r="G344">
        <v>170.3</v>
      </c>
      <c r="H344">
        <v>170.9</v>
      </c>
      <c r="I344">
        <v>191.6</v>
      </c>
      <c r="J344">
        <v>162.19999999999999</v>
      </c>
      <c r="K344">
        <v>184.8</v>
      </c>
      <c r="L344">
        <v>169.7</v>
      </c>
      <c r="M344">
        <v>121.1</v>
      </c>
      <c r="N344">
        <v>201.6</v>
      </c>
      <c r="O344">
        <v>175.8</v>
      </c>
      <c r="P344">
        <v>185.6</v>
      </c>
      <c r="Q344">
        <v>177.4</v>
      </c>
      <c r="R344">
        <v>194.9</v>
      </c>
      <c r="S344">
        <v>186.1</v>
      </c>
      <c r="T344">
        <v>184.4</v>
      </c>
      <c r="U344">
        <v>185.9</v>
      </c>
      <c r="V344">
        <f>AVERAGE(V342:V343)</f>
        <v>169.5</v>
      </c>
      <c r="W344">
        <v>180.8</v>
      </c>
      <c r="X344">
        <f t="shared" si="11"/>
        <v>173.71428571428572</v>
      </c>
      <c r="Y344">
        <v>174.4</v>
      </c>
      <c r="Z344">
        <v>181.2</v>
      </c>
      <c r="AA344">
        <v>167.4</v>
      </c>
      <c r="AB344">
        <v>170.6</v>
      </c>
      <c r="AC344">
        <v>176.5</v>
      </c>
      <c r="AD344">
        <v>172</v>
      </c>
      <c r="AE344">
        <v>173.9</v>
      </c>
      <c r="AF344">
        <v>177.9</v>
      </c>
    </row>
    <row r="345" spans="1:32" x14ac:dyDescent="0.3">
      <c r="A345" t="s">
        <v>53</v>
      </c>
      <c r="B345">
        <v>2022</v>
      </c>
      <c r="C345" t="s">
        <v>63</v>
      </c>
      <c r="D345">
        <f t="shared" si="10"/>
        <v>178.63846153846154</v>
      </c>
      <c r="E345">
        <v>166.4</v>
      </c>
      <c r="F345">
        <v>214.9</v>
      </c>
      <c r="G345">
        <v>171.9</v>
      </c>
      <c r="H345">
        <v>171</v>
      </c>
      <c r="I345">
        <v>177.7</v>
      </c>
      <c r="J345">
        <v>165.7</v>
      </c>
      <c r="K345">
        <v>228.6</v>
      </c>
      <c r="L345">
        <v>169.9</v>
      </c>
      <c r="M345">
        <v>123.4</v>
      </c>
      <c r="N345">
        <v>196.4</v>
      </c>
      <c r="O345">
        <v>161.6</v>
      </c>
      <c r="P345">
        <v>191.5</v>
      </c>
      <c r="Q345">
        <v>183.3</v>
      </c>
      <c r="R345">
        <v>200.1</v>
      </c>
      <c r="S345">
        <v>175.5</v>
      </c>
      <c r="T345">
        <v>162.6</v>
      </c>
      <c r="U345">
        <v>173.6</v>
      </c>
      <c r="V345">
        <v>171.2</v>
      </c>
      <c r="W345">
        <v>180</v>
      </c>
      <c r="X345">
        <f t="shared" si="11"/>
        <v>168.01428571428571</v>
      </c>
      <c r="Y345">
        <v>166</v>
      </c>
      <c r="Z345">
        <v>174.7</v>
      </c>
      <c r="AA345">
        <v>158.80000000000001</v>
      </c>
      <c r="AB345">
        <v>166.3</v>
      </c>
      <c r="AC345">
        <v>171.2</v>
      </c>
      <c r="AD345">
        <v>172.3</v>
      </c>
      <c r="AE345">
        <v>166.8</v>
      </c>
      <c r="AF345">
        <v>175.3</v>
      </c>
    </row>
    <row r="346" spans="1:32" x14ac:dyDescent="0.3">
      <c r="A346" t="s">
        <v>54</v>
      </c>
      <c r="B346">
        <v>2022</v>
      </c>
      <c r="C346" t="s">
        <v>63</v>
      </c>
      <c r="D346">
        <f t="shared" si="10"/>
        <v>176.71538461538464</v>
      </c>
      <c r="E346">
        <v>165.2</v>
      </c>
      <c r="F346">
        <v>210.9</v>
      </c>
      <c r="G346">
        <v>170.9</v>
      </c>
      <c r="H346">
        <v>170.9</v>
      </c>
      <c r="I346">
        <v>186.5</v>
      </c>
      <c r="J346">
        <v>163.80000000000001</v>
      </c>
      <c r="K346">
        <v>199.7</v>
      </c>
      <c r="L346">
        <v>169.8</v>
      </c>
      <c r="M346">
        <v>121.9</v>
      </c>
      <c r="N346">
        <v>199.9</v>
      </c>
      <c r="O346">
        <v>169.9</v>
      </c>
      <c r="P346">
        <v>188.3</v>
      </c>
      <c r="Q346">
        <v>179.6</v>
      </c>
      <c r="R346">
        <v>196.3</v>
      </c>
      <c r="S346">
        <v>181.9</v>
      </c>
      <c r="T346">
        <v>175.3</v>
      </c>
      <c r="U346">
        <v>181</v>
      </c>
      <c r="V346">
        <v>171.2</v>
      </c>
      <c r="W346">
        <v>180.5</v>
      </c>
      <c r="X346">
        <f t="shared" si="11"/>
        <v>170.8857142857143</v>
      </c>
      <c r="Y346">
        <v>170.4</v>
      </c>
      <c r="Z346">
        <v>178.7</v>
      </c>
      <c r="AA346">
        <v>162.9</v>
      </c>
      <c r="AB346">
        <v>168.2</v>
      </c>
      <c r="AC346">
        <v>173.4</v>
      </c>
      <c r="AD346">
        <v>172.1</v>
      </c>
      <c r="AE346">
        <v>170.5</v>
      </c>
      <c r="AF346">
        <v>176.7</v>
      </c>
    </row>
    <row r="347" spans="1:32" x14ac:dyDescent="0.3">
      <c r="A347" t="s">
        <v>50</v>
      </c>
      <c r="B347">
        <v>2022</v>
      </c>
      <c r="C347" t="s">
        <v>65</v>
      </c>
      <c r="D347">
        <f t="shared" si="10"/>
        <v>175.97692307692307</v>
      </c>
      <c r="E347">
        <v>166.9</v>
      </c>
      <c r="F347">
        <v>207.2</v>
      </c>
      <c r="G347">
        <v>180.2</v>
      </c>
      <c r="H347">
        <v>172.3</v>
      </c>
      <c r="I347">
        <v>194</v>
      </c>
      <c r="J347">
        <v>159.1</v>
      </c>
      <c r="K347">
        <v>171.6</v>
      </c>
      <c r="L347">
        <v>170.2</v>
      </c>
      <c r="M347">
        <v>121.5</v>
      </c>
      <c r="N347">
        <v>204.8</v>
      </c>
      <c r="O347">
        <v>176.4</v>
      </c>
      <c r="P347">
        <v>186.9</v>
      </c>
      <c r="Q347">
        <v>176.6</v>
      </c>
      <c r="R347">
        <v>195.5</v>
      </c>
      <c r="S347">
        <v>187.2</v>
      </c>
      <c r="T347">
        <v>185.2</v>
      </c>
      <c r="U347">
        <v>186.9</v>
      </c>
      <c r="V347">
        <f>AVERAGE(V345:V346)</f>
        <v>171.2</v>
      </c>
      <c r="W347">
        <v>181.9</v>
      </c>
      <c r="X347">
        <f t="shared" si="11"/>
        <v>174.42857142857139</v>
      </c>
      <c r="Y347">
        <v>175.5</v>
      </c>
      <c r="Z347">
        <v>182.3</v>
      </c>
      <c r="AA347">
        <v>167.5</v>
      </c>
      <c r="AB347">
        <v>170.8</v>
      </c>
      <c r="AC347">
        <v>176.9</v>
      </c>
      <c r="AD347">
        <v>173.4</v>
      </c>
      <c r="AE347">
        <v>174.6</v>
      </c>
      <c r="AF347">
        <v>177.8</v>
      </c>
    </row>
    <row r="348" spans="1:32" x14ac:dyDescent="0.3">
      <c r="A348" t="s">
        <v>53</v>
      </c>
      <c r="B348">
        <v>2022</v>
      </c>
      <c r="C348" t="s">
        <v>65</v>
      </c>
      <c r="D348">
        <f t="shared" si="10"/>
        <v>178.03076923076924</v>
      </c>
      <c r="E348">
        <v>168.4</v>
      </c>
      <c r="F348">
        <v>213.4</v>
      </c>
      <c r="G348">
        <v>183.2</v>
      </c>
      <c r="H348">
        <v>172.3</v>
      </c>
      <c r="I348">
        <v>180</v>
      </c>
      <c r="J348">
        <v>162.6</v>
      </c>
      <c r="K348">
        <v>205.5</v>
      </c>
      <c r="L348">
        <v>171</v>
      </c>
      <c r="M348">
        <v>123.4</v>
      </c>
      <c r="N348">
        <v>198.8</v>
      </c>
      <c r="O348">
        <v>162.1</v>
      </c>
      <c r="P348">
        <v>192.4</v>
      </c>
      <c r="Q348">
        <v>181.3</v>
      </c>
      <c r="R348">
        <v>200.6</v>
      </c>
      <c r="S348">
        <v>176.7</v>
      </c>
      <c r="T348">
        <v>163.5</v>
      </c>
      <c r="U348">
        <v>174.7</v>
      </c>
      <c r="V348">
        <v>171.8</v>
      </c>
      <c r="W348">
        <v>180.3</v>
      </c>
      <c r="X348">
        <f t="shared" si="11"/>
        <v>168.71428571428572</v>
      </c>
      <c r="Y348">
        <v>166.9</v>
      </c>
      <c r="Z348">
        <v>175.8</v>
      </c>
      <c r="AA348">
        <v>158.9</v>
      </c>
      <c r="AB348">
        <v>166.7</v>
      </c>
      <c r="AC348">
        <v>171.5</v>
      </c>
      <c r="AD348">
        <v>173.8</v>
      </c>
      <c r="AE348">
        <v>167.4</v>
      </c>
      <c r="AF348">
        <v>174.1</v>
      </c>
    </row>
    <row r="349" spans="1:32" x14ac:dyDescent="0.3">
      <c r="A349" t="s">
        <v>54</v>
      </c>
      <c r="B349">
        <v>2022</v>
      </c>
      <c r="C349" t="s">
        <v>65</v>
      </c>
      <c r="D349">
        <f t="shared" si="10"/>
        <v>176.67692307692309</v>
      </c>
      <c r="E349">
        <v>167.4</v>
      </c>
      <c r="F349">
        <v>209.4</v>
      </c>
      <c r="G349">
        <v>181.4</v>
      </c>
      <c r="H349">
        <v>172.3</v>
      </c>
      <c r="I349">
        <v>188.9</v>
      </c>
      <c r="J349">
        <v>160.69999999999999</v>
      </c>
      <c r="K349">
        <v>183.1</v>
      </c>
      <c r="L349">
        <v>170.5</v>
      </c>
      <c r="M349">
        <v>122.1</v>
      </c>
      <c r="N349">
        <v>202.8</v>
      </c>
      <c r="O349">
        <v>170.4</v>
      </c>
      <c r="P349">
        <v>189.5</v>
      </c>
      <c r="Q349">
        <v>178.3</v>
      </c>
      <c r="R349">
        <v>196.9</v>
      </c>
      <c r="S349">
        <v>183.1</v>
      </c>
      <c r="T349">
        <v>176.2</v>
      </c>
      <c r="U349">
        <v>182.1</v>
      </c>
      <c r="V349">
        <v>171.8</v>
      </c>
      <c r="W349">
        <v>181.3</v>
      </c>
      <c r="X349">
        <f t="shared" si="11"/>
        <v>171.58571428571426</v>
      </c>
      <c r="Y349">
        <v>171.4</v>
      </c>
      <c r="Z349">
        <v>179.8</v>
      </c>
      <c r="AA349">
        <v>163</v>
      </c>
      <c r="AB349">
        <v>168.5</v>
      </c>
      <c r="AC349">
        <v>173.7</v>
      </c>
      <c r="AD349">
        <v>173.6</v>
      </c>
      <c r="AE349">
        <v>171.1</v>
      </c>
      <c r="AF349">
        <v>176.5</v>
      </c>
    </row>
    <row r="350" spans="1:32" x14ac:dyDescent="0.3">
      <c r="A350" t="s">
        <v>50</v>
      </c>
      <c r="B350">
        <v>2022</v>
      </c>
      <c r="C350" t="s">
        <v>66</v>
      </c>
      <c r="D350">
        <f t="shared" si="10"/>
        <v>175.16153846153844</v>
      </c>
      <c r="E350">
        <v>168.8</v>
      </c>
      <c r="F350">
        <v>206.9</v>
      </c>
      <c r="G350">
        <v>189.1</v>
      </c>
      <c r="H350">
        <v>173.4</v>
      </c>
      <c r="I350">
        <v>193.9</v>
      </c>
      <c r="J350">
        <v>156.69999999999999</v>
      </c>
      <c r="K350">
        <v>150.19999999999999</v>
      </c>
      <c r="L350">
        <v>170.5</v>
      </c>
      <c r="M350">
        <v>121.2</v>
      </c>
      <c r="N350">
        <v>207.5</v>
      </c>
      <c r="O350">
        <v>176.8</v>
      </c>
      <c r="P350">
        <v>187.7</v>
      </c>
      <c r="Q350">
        <v>174.4</v>
      </c>
      <c r="R350">
        <v>195.9</v>
      </c>
      <c r="S350">
        <v>188.1</v>
      </c>
      <c r="T350">
        <v>185.9</v>
      </c>
      <c r="U350">
        <v>187.8</v>
      </c>
      <c r="V350">
        <f>AVERAGE(V348:V349)</f>
        <v>171.8</v>
      </c>
      <c r="W350">
        <v>182.8</v>
      </c>
      <c r="X350">
        <f t="shared" si="11"/>
        <v>175.34285714285716</v>
      </c>
      <c r="Y350">
        <v>176.4</v>
      </c>
      <c r="Z350">
        <v>183.5</v>
      </c>
      <c r="AA350">
        <v>167.8</v>
      </c>
      <c r="AB350">
        <v>171.2</v>
      </c>
      <c r="AC350">
        <v>177.3</v>
      </c>
      <c r="AD350">
        <v>175.7</v>
      </c>
      <c r="AE350">
        <v>175.5</v>
      </c>
      <c r="AF350">
        <v>177.1</v>
      </c>
    </row>
    <row r="351" spans="1:32" x14ac:dyDescent="0.3">
      <c r="A351" t="s">
        <v>53</v>
      </c>
      <c r="B351">
        <v>2022</v>
      </c>
      <c r="C351" t="s">
        <v>66</v>
      </c>
      <c r="D351">
        <f t="shared" si="10"/>
        <v>176.59999999999997</v>
      </c>
      <c r="E351">
        <v>170.2</v>
      </c>
      <c r="F351">
        <v>212.9</v>
      </c>
      <c r="G351">
        <v>191.9</v>
      </c>
      <c r="H351">
        <v>173.9</v>
      </c>
      <c r="I351">
        <v>179.1</v>
      </c>
      <c r="J351">
        <v>159.5</v>
      </c>
      <c r="K351">
        <v>178.7</v>
      </c>
      <c r="L351">
        <v>171.3</v>
      </c>
      <c r="M351">
        <v>123.1</v>
      </c>
      <c r="N351">
        <v>200.5</v>
      </c>
      <c r="O351">
        <v>162.80000000000001</v>
      </c>
      <c r="P351">
        <v>193.3</v>
      </c>
      <c r="Q351">
        <v>178.6</v>
      </c>
      <c r="R351">
        <v>201.1</v>
      </c>
      <c r="S351">
        <v>177.7</v>
      </c>
      <c r="T351">
        <v>164.5</v>
      </c>
      <c r="U351">
        <v>175.7</v>
      </c>
      <c r="V351">
        <v>170.7</v>
      </c>
      <c r="W351">
        <v>180.6</v>
      </c>
      <c r="X351">
        <f t="shared" si="11"/>
        <v>169.57142857142858</v>
      </c>
      <c r="Y351">
        <v>167.3</v>
      </c>
      <c r="Z351">
        <v>177.2</v>
      </c>
      <c r="AA351">
        <v>159.4</v>
      </c>
      <c r="AB351">
        <v>167.1</v>
      </c>
      <c r="AC351">
        <v>171.8</v>
      </c>
      <c r="AD351">
        <v>176</v>
      </c>
      <c r="AE351">
        <v>168.2</v>
      </c>
      <c r="AF351">
        <v>174.1</v>
      </c>
    </row>
    <row r="352" spans="1:32" x14ac:dyDescent="0.3">
      <c r="A352" t="s">
        <v>54</v>
      </c>
      <c r="B352">
        <v>2022</v>
      </c>
      <c r="C352" t="s">
        <v>66</v>
      </c>
      <c r="D352">
        <f t="shared" si="10"/>
        <v>175.64615384615385</v>
      </c>
      <c r="E352">
        <v>169.2</v>
      </c>
      <c r="F352">
        <v>209</v>
      </c>
      <c r="G352">
        <v>190.2</v>
      </c>
      <c r="H352">
        <v>173.6</v>
      </c>
      <c r="I352">
        <v>188.5</v>
      </c>
      <c r="J352">
        <v>158</v>
      </c>
      <c r="K352">
        <v>159.9</v>
      </c>
      <c r="L352">
        <v>170.8</v>
      </c>
      <c r="M352">
        <v>121.8</v>
      </c>
      <c r="N352">
        <v>205.2</v>
      </c>
      <c r="O352">
        <v>171</v>
      </c>
      <c r="P352">
        <v>190.3</v>
      </c>
      <c r="Q352">
        <v>175.9</v>
      </c>
      <c r="R352">
        <v>197.3</v>
      </c>
      <c r="S352">
        <v>184</v>
      </c>
      <c r="T352">
        <v>177</v>
      </c>
      <c r="U352">
        <v>183</v>
      </c>
      <c r="V352">
        <v>170.7</v>
      </c>
      <c r="W352">
        <v>182</v>
      </c>
      <c r="X352">
        <f t="shared" si="11"/>
        <v>172.48571428571429</v>
      </c>
      <c r="Y352">
        <v>172.1</v>
      </c>
      <c r="Z352">
        <v>181.1</v>
      </c>
      <c r="AA352">
        <v>163.4</v>
      </c>
      <c r="AB352">
        <v>168.9</v>
      </c>
      <c r="AC352">
        <v>174.1</v>
      </c>
      <c r="AD352">
        <v>175.8</v>
      </c>
      <c r="AE352">
        <v>172</v>
      </c>
      <c r="AF352">
        <v>175.7</v>
      </c>
    </row>
    <row r="353" spans="1:36" x14ac:dyDescent="0.3">
      <c r="A353" t="s">
        <v>50</v>
      </c>
      <c r="B353">
        <v>2023</v>
      </c>
      <c r="C353" t="s">
        <v>51</v>
      </c>
      <c r="D353">
        <f t="shared" si="10"/>
        <v>175.63076923076926</v>
      </c>
      <c r="E353">
        <v>174</v>
      </c>
      <c r="F353">
        <v>208.3</v>
      </c>
      <c r="G353">
        <v>192.9</v>
      </c>
      <c r="H353">
        <v>174.3</v>
      </c>
      <c r="I353">
        <v>192.6</v>
      </c>
      <c r="J353">
        <v>156.30000000000001</v>
      </c>
      <c r="K353">
        <v>142.9</v>
      </c>
      <c r="L353">
        <v>170.7</v>
      </c>
      <c r="M353">
        <v>120.3</v>
      </c>
      <c r="N353">
        <v>210.5</v>
      </c>
      <c r="O353">
        <v>176.9</v>
      </c>
      <c r="P353">
        <v>188.5</v>
      </c>
      <c r="Q353">
        <v>175</v>
      </c>
      <c r="R353">
        <v>196.9</v>
      </c>
      <c r="S353">
        <v>189</v>
      </c>
      <c r="T353">
        <v>186.3</v>
      </c>
      <c r="U353">
        <v>188.6</v>
      </c>
      <c r="V353">
        <f>AVERAGE(V351:V352)</f>
        <v>170.7</v>
      </c>
      <c r="W353">
        <v>183.2</v>
      </c>
      <c r="X353">
        <f t="shared" si="11"/>
        <v>176.37142857142857</v>
      </c>
      <c r="Y353">
        <v>177.2</v>
      </c>
      <c r="Z353">
        <v>184.7</v>
      </c>
      <c r="AA353">
        <v>168.2</v>
      </c>
      <c r="AB353">
        <v>171.8</v>
      </c>
      <c r="AC353">
        <v>177.8</v>
      </c>
      <c r="AD353">
        <v>178.4</v>
      </c>
      <c r="AE353">
        <v>176.5</v>
      </c>
      <c r="AF353">
        <v>177.8</v>
      </c>
    </row>
    <row r="354" spans="1:36" x14ac:dyDescent="0.3">
      <c r="A354" t="s">
        <v>53</v>
      </c>
      <c r="B354">
        <v>2023</v>
      </c>
      <c r="C354" t="s">
        <v>51</v>
      </c>
      <c r="D354">
        <f t="shared" si="10"/>
        <v>177.70769230769233</v>
      </c>
      <c r="E354">
        <v>173.3</v>
      </c>
      <c r="F354">
        <v>215.2</v>
      </c>
      <c r="G354">
        <v>197</v>
      </c>
      <c r="H354">
        <v>175.2</v>
      </c>
      <c r="I354">
        <v>178</v>
      </c>
      <c r="J354">
        <v>160.5</v>
      </c>
      <c r="K354">
        <v>175.3</v>
      </c>
      <c r="L354">
        <v>171.2</v>
      </c>
      <c r="M354">
        <v>122.7</v>
      </c>
      <c r="N354">
        <v>204.3</v>
      </c>
      <c r="O354">
        <v>163.69999999999999</v>
      </c>
      <c r="P354">
        <v>194.3</v>
      </c>
      <c r="Q354">
        <v>179.5</v>
      </c>
      <c r="R354">
        <v>201.6</v>
      </c>
      <c r="S354">
        <v>178.7</v>
      </c>
      <c r="T354">
        <v>165.3</v>
      </c>
      <c r="U354">
        <v>176.6</v>
      </c>
      <c r="V354">
        <v>172.1</v>
      </c>
      <c r="W354">
        <v>180.1</v>
      </c>
      <c r="X354">
        <f t="shared" si="11"/>
        <v>170.47142857142856</v>
      </c>
      <c r="Y354">
        <v>168</v>
      </c>
      <c r="Z354">
        <v>178.5</v>
      </c>
      <c r="AA354">
        <v>159.5</v>
      </c>
      <c r="AB354">
        <v>167.8</v>
      </c>
      <c r="AC354">
        <v>171.8</v>
      </c>
      <c r="AD354">
        <v>178.8</v>
      </c>
      <c r="AE354">
        <v>168.9</v>
      </c>
      <c r="AF354">
        <v>174.9</v>
      </c>
    </row>
    <row r="355" spans="1:36" x14ac:dyDescent="0.3">
      <c r="A355" t="s">
        <v>54</v>
      </c>
      <c r="B355">
        <v>2023</v>
      </c>
      <c r="C355" t="s">
        <v>51</v>
      </c>
      <c r="D355">
        <f t="shared" si="10"/>
        <v>176.36153846153846</v>
      </c>
      <c r="E355">
        <v>173.8</v>
      </c>
      <c r="F355">
        <v>210.7</v>
      </c>
      <c r="G355">
        <v>194.5</v>
      </c>
      <c r="H355">
        <v>174.6</v>
      </c>
      <c r="I355">
        <v>187.2</v>
      </c>
      <c r="J355">
        <v>158.30000000000001</v>
      </c>
      <c r="K355">
        <v>153.9</v>
      </c>
      <c r="L355">
        <v>170.9</v>
      </c>
      <c r="M355">
        <v>121.1</v>
      </c>
      <c r="N355">
        <v>208.4</v>
      </c>
      <c r="O355">
        <v>171.4</v>
      </c>
      <c r="P355">
        <v>191.2</v>
      </c>
      <c r="Q355">
        <v>176.7</v>
      </c>
      <c r="R355">
        <v>198.2</v>
      </c>
      <c r="S355">
        <v>184.9</v>
      </c>
      <c r="T355">
        <v>177.6</v>
      </c>
      <c r="U355">
        <v>183.8</v>
      </c>
      <c r="V355">
        <v>172.1</v>
      </c>
      <c r="W355">
        <v>182</v>
      </c>
      <c r="X355">
        <f t="shared" si="11"/>
        <v>173.42857142857142</v>
      </c>
      <c r="Y355">
        <v>172.9</v>
      </c>
      <c r="Z355">
        <v>182.3</v>
      </c>
      <c r="AA355">
        <v>163.6</v>
      </c>
      <c r="AB355">
        <v>169.5</v>
      </c>
      <c r="AC355">
        <v>174.3</v>
      </c>
      <c r="AD355">
        <v>178.6</v>
      </c>
      <c r="AE355">
        <v>172.8</v>
      </c>
      <c r="AF355">
        <v>176.5</v>
      </c>
    </row>
    <row r="356" spans="1:36" x14ac:dyDescent="0.3">
      <c r="A356" t="s">
        <v>50</v>
      </c>
      <c r="B356">
        <v>2023</v>
      </c>
      <c r="C356" t="s">
        <v>55</v>
      </c>
      <c r="D356">
        <f t="shared" si="10"/>
        <v>174.28461538461536</v>
      </c>
      <c r="E356">
        <v>174.2</v>
      </c>
      <c r="F356">
        <v>205.2</v>
      </c>
      <c r="G356">
        <v>173.9</v>
      </c>
      <c r="H356">
        <v>177</v>
      </c>
      <c r="I356">
        <v>183.4</v>
      </c>
      <c r="J356">
        <v>167.2</v>
      </c>
      <c r="K356">
        <v>140.9</v>
      </c>
      <c r="L356">
        <v>170.4</v>
      </c>
      <c r="M356">
        <v>119.1</v>
      </c>
      <c r="N356">
        <v>212.1</v>
      </c>
      <c r="O356">
        <v>177.6</v>
      </c>
      <c r="P356">
        <v>189.9</v>
      </c>
      <c r="Q356">
        <v>174.8</v>
      </c>
      <c r="R356">
        <v>198.3</v>
      </c>
      <c r="S356">
        <v>190</v>
      </c>
      <c r="T356">
        <v>187</v>
      </c>
      <c r="U356">
        <v>189.6</v>
      </c>
      <c r="V356">
        <f>AVERAGE(V354:V355)</f>
        <v>172.1</v>
      </c>
      <c r="W356">
        <v>181.6</v>
      </c>
      <c r="X356">
        <f t="shared" si="11"/>
        <v>177.72857142857146</v>
      </c>
      <c r="Y356">
        <v>178.6</v>
      </c>
      <c r="Z356">
        <v>186.6</v>
      </c>
      <c r="AA356">
        <v>169</v>
      </c>
      <c r="AB356">
        <v>172.8</v>
      </c>
      <c r="AC356">
        <v>178.5</v>
      </c>
      <c r="AD356">
        <v>180.7</v>
      </c>
      <c r="AE356">
        <v>177.9</v>
      </c>
      <c r="AF356">
        <v>178</v>
      </c>
    </row>
    <row r="357" spans="1:36" x14ac:dyDescent="0.3">
      <c r="A357" t="s">
        <v>53</v>
      </c>
      <c r="B357">
        <v>2023</v>
      </c>
      <c r="C357" t="s">
        <v>55</v>
      </c>
      <c r="D357">
        <f t="shared" si="10"/>
        <v>177.16923076923075</v>
      </c>
      <c r="E357">
        <v>174.7</v>
      </c>
      <c r="F357">
        <v>212.2</v>
      </c>
      <c r="G357">
        <v>177.2</v>
      </c>
      <c r="H357">
        <v>177.9</v>
      </c>
      <c r="I357">
        <v>172.2</v>
      </c>
      <c r="J357">
        <v>172.1</v>
      </c>
      <c r="K357">
        <v>175.8</v>
      </c>
      <c r="L357">
        <v>172.2</v>
      </c>
      <c r="M357">
        <v>121.9</v>
      </c>
      <c r="N357">
        <v>204.8</v>
      </c>
      <c r="O357">
        <v>164.9</v>
      </c>
      <c r="P357">
        <v>196.6</v>
      </c>
      <c r="Q357">
        <v>180.7</v>
      </c>
      <c r="R357">
        <v>202.7</v>
      </c>
      <c r="S357">
        <v>180.3</v>
      </c>
      <c r="T357">
        <v>167</v>
      </c>
      <c r="U357">
        <v>178.2</v>
      </c>
      <c r="V357">
        <v>173.5</v>
      </c>
      <c r="W357">
        <v>182.8</v>
      </c>
      <c r="X357">
        <f t="shared" si="11"/>
        <v>171.72857142857146</v>
      </c>
      <c r="Y357">
        <v>169.2</v>
      </c>
      <c r="Z357">
        <v>180.8</v>
      </c>
      <c r="AA357">
        <v>159.80000000000001</v>
      </c>
      <c r="AB357">
        <v>168.4</v>
      </c>
      <c r="AC357">
        <v>172.5</v>
      </c>
      <c r="AD357">
        <v>181.4</v>
      </c>
      <c r="AE357">
        <v>170</v>
      </c>
      <c r="AF357">
        <v>176.3</v>
      </c>
    </row>
    <row r="358" spans="1:36" x14ac:dyDescent="0.3">
      <c r="A358" t="s">
        <v>54</v>
      </c>
      <c r="B358">
        <v>2023</v>
      </c>
      <c r="C358" t="s">
        <v>55</v>
      </c>
      <c r="D358">
        <f t="shared" si="10"/>
        <v>175.3153846153846</v>
      </c>
      <c r="E358">
        <v>174.4</v>
      </c>
      <c r="F358">
        <v>207.7</v>
      </c>
      <c r="G358">
        <v>175.2</v>
      </c>
      <c r="H358">
        <v>177.3</v>
      </c>
      <c r="I358">
        <v>179.3</v>
      </c>
      <c r="J358">
        <v>169.5</v>
      </c>
      <c r="K358">
        <v>152.69999999999999</v>
      </c>
      <c r="L358">
        <v>171</v>
      </c>
      <c r="M358">
        <v>120</v>
      </c>
      <c r="N358">
        <v>209.7</v>
      </c>
      <c r="O358">
        <v>172.3</v>
      </c>
      <c r="P358">
        <v>193</v>
      </c>
      <c r="Q358">
        <v>177</v>
      </c>
      <c r="R358">
        <v>199.5</v>
      </c>
      <c r="S358">
        <v>186.2</v>
      </c>
      <c r="T358">
        <v>178.7</v>
      </c>
      <c r="U358">
        <v>185.1</v>
      </c>
      <c r="V358">
        <v>173.5</v>
      </c>
      <c r="W358">
        <v>182.1</v>
      </c>
      <c r="X358">
        <f t="shared" si="11"/>
        <v>174.7428571428571</v>
      </c>
      <c r="Y358">
        <v>174.2</v>
      </c>
      <c r="Z358">
        <v>184.4</v>
      </c>
      <c r="AA358">
        <v>164.2</v>
      </c>
      <c r="AB358">
        <v>170.3</v>
      </c>
      <c r="AC358">
        <v>175</v>
      </c>
      <c r="AD358">
        <v>181</v>
      </c>
      <c r="AE358">
        <v>174.1</v>
      </c>
      <c r="AF358">
        <v>177.2</v>
      </c>
    </row>
    <row r="359" spans="1:36" x14ac:dyDescent="0.3">
      <c r="A359" t="s">
        <v>50</v>
      </c>
      <c r="B359">
        <v>2023</v>
      </c>
      <c r="C359" t="s">
        <v>56</v>
      </c>
      <c r="D359">
        <f t="shared" si="10"/>
        <v>174.2923076923077</v>
      </c>
      <c r="E359">
        <v>174.3</v>
      </c>
      <c r="F359">
        <v>205.2</v>
      </c>
      <c r="G359">
        <v>173.9</v>
      </c>
      <c r="H359">
        <v>177</v>
      </c>
      <c r="I359">
        <v>183.3</v>
      </c>
      <c r="J359">
        <v>167.2</v>
      </c>
      <c r="K359">
        <v>140.9</v>
      </c>
      <c r="L359">
        <v>170.5</v>
      </c>
      <c r="M359">
        <v>119.1</v>
      </c>
      <c r="N359">
        <v>212.1</v>
      </c>
      <c r="O359">
        <v>177.6</v>
      </c>
      <c r="P359">
        <v>189.9</v>
      </c>
      <c r="Q359">
        <v>174.8</v>
      </c>
      <c r="R359">
        <v>198.4</v>
      </c>
      <c r="S359">
        <v>190</v>
      </c>
      <c r="T359">
        <v>187</v>
      </c>
      <c r="U359">
        <v>189.6</v>
      </c>
      <c r="V359">
        <f>AVERAGE(V357:V358)</f>
        <v>173.5</v>
      </c>
      <c r="W359">
        <v>181.4</v>
      </c>
      <c r="X359">
        <f t="shared" si="11"/>
        <v>177.72857142857146</v>
      </c>
      <c r="Y359">
        <v>178.6</v>
      </c>
      <c r="Z359">
        <v>186.6</v>
      </c>
      <c r="AA359">
        <v>169</v>
      </c>
      <c r="AB359">
        <v>172.8</v>
      </c>
      <c r="AC359">
        <v>178.5</v>
      </c>
      <c r="AD359">
        <v>180.7</v>
      </c>
      <c r="AE359">
        <v>177.9</v>
      </c>
      <c r="AF359">
        <v>178</v>
      </c>
    </row>
    <row r="360" spans="1:36" x14ac:dyDescent="0.3">
      <c r="A360" t="s">
        <v>53</v>
      </c>
      <c r="B360">
        <v>2023</v>
      </c>
      <c r="C360" t="s">
        <v>56</v>
      </c>
      <c r="D360">
        <f t="shared" si="10"/>
        <v>177.1846153846154</v>
      </c>
      <c r="E360">
        <v>174.7</v>
      </c>
      <c r="F360">
        <v>212.2</v>
      </c>
      <c r="G360">
        <v>177.2</v>
      </c>
      <c r="H360">
        <v>177.9</v>
      </c>
      <c r="I360">
        <v>172.2</v>
      </c>
      <c r="J360">
        <v>172.1</v>
      </c>
      <c r="K360">
        <v>175.9</v>
      </c>
      <c r="L360">
        <v>172.2</v>
      </c>
      <c r="M360">
        <v>121.9</v>
      </c>
      <c r="N360">
        <v>204.8</v>
      </c>
      <c r="O360">
        <v>164.9</v>
      </c>
      <c r="P360">
        <v>196.6</v>
      </c>
      <c r="Q360">
        <v>180.8</v>
      </c>
      <c r="R360">
        <v>202.7</v>
      </c>
      <c r="S360">
        <v>180.2</v>
      </c>
      <c r="T360">
        <v>167</v>
      </c>
      <c r="U360">
        <v>178.2</v>
      </c>
      <c r="V360">
        <v>173.5</v>
      </c>
      <c r="W360">
        <v>182.6</v>
      </c>
      <c r="X360">
        <f t="shared" si="11"/>
        <v>171.74285714285716</v>
      </c>
      <c r="Y360">
        <v>169.2</v>
      </c>
      <c r="Z360">
        <v>180.8</v>
      </c>
      <c r="AA360">
        <v>159.80000000000001</v>
      </c>
      <c r="AB360">
        <v>168.4</v>
      </c>
      <c r="AC360">
        <v>172.5</v>
      </c>
      <c r="AD360">
        <v>181.5</v>
      </c>
      <c r="AE360">
        <v>170</v>
      </c>
      <c r="AF360">
        <v>176.3</v>
      </c>
    </row>
    <row r="361" spans="1:36" x14ac:dyDescent="0.3">
      <c r="A361" t="s">
        <v>54</v>
      </c>
      <c r="B361">
        <v>2023</v>
      </c>
      <c r="C361" t="s">
        <v>56</v>
      </c>
      <c r="D361">
        <f t="shared" si="10"/>
        <v>175.32307692307691</v>
      </c>
      <c r="E361">
        <v>174.4</v>
      </c>
      <c r="F361">
        <v>207.7</v>
      </c>
      <c r="G361">
        <v>175.2</v>
      </c>
      <c r="H361">
        <v>177.3</v>
      </c>
      <c r="I361">
        <v>179.2</v>
      </c>
      <c r="J361">
        <v>169.5</v>
      </c>
      <c r="K361">
        <v>152.80000000000001</v>
      </c>
      <c r="L361">
        <v>171.1</v>
      </c>
      <c r="M361">
        <v>120</v>
      </c>
      <c r="N361">
        <v>209.7</v>
      </c>
      <c r="O361">
        <v>172.3</v>
      </c>
      <c r="P361">
        <v>193</v>
      </c>
      <c r="Q361">
        <v>177</v>
      </c>
      <c r="R361">
        <v>199.5</v>
      </c>
      <c r="S361">
        <v>186.1</v>
      </c>
      <c r="T361">
        <v>178.7</v>
      </c>
      <c r="U361">
        <v>185.1</v>
      </c>
      <c r="V361">
        <v>173.5</v>
      </c>
      <c r="W361">
        <v>181.9</v>
      </c>
      <c r="X361">
        <f t="shared" si="11"/>
        <v>174.7428571428571</v>
      </c>
      <c r="Y361">
        <v>174.2</v>
      </c>
      <c r="Z361">
        <v>184.4</v>
      </c>
      <c r="AA361">
        <v>164.2</v>
      </c>
      <c r="AB361">
        <v>170.3</v>
      </c>
      <c r="AC361">
        <v>175</v>
      </c>
      <c r="AD361">
        <v>181</v>
      </c>
      <c r="AE361">
        <v>174.1</v>
      </c>
      <c r="AF361">
        <v>177.2</v>
      </c>
    </row>
    <row r="362" spans="1:36" x14ac:dyDescent="0.3">
      <c r="A362" t="s">
        <v>50</v>
      </c>
      <c r="B362">
        <v>2023</v>
      </c>
      <c r="C362" t="s">
        <v>57</v>
      </c>
      <c r="D362">
        <f t="shared" si="10"/>
        <v>174.93846153846152</v>
      </c>
      <c r="E362">
        <v>173.3</v>
      </c>
      <c r="F362">
        <v>206.9</v>
      </c>
      <c r="G362">
        <v>167.9</v>
      </c>
      <c r="H362">
        <v>178.2</v>
      </c>
      <c r="I362">
        <v>178.5</v>
      </c>
      <c r="J362">
        <v>173.7</v>
      </c>
      <c r="K362">
        <v>142.80000000000001</v>
      </c>
      <c r="L362">
        <v>172.8</v>
      </c>
      <c r="M362">
        <v>120.4</v>
      </c>
      <c r="N362">
        <v>215.5</v>
      </c>
      <c r="O362">
        <v>178.2</v>
      </c>
      <c r="P362">
        <v>190.5</v>
      </c>
      <c r="Q362">
        <v>175.5</v>
      </c>
      <c r="R362">
        <v>199.5</v>
      </c>
      <c r="S362">
        <v>190.7</v>
      </c>
      <c r="T362">
        <v>187.3</v>
      </c>
      <c r="U362">
        <v>190.2</v>
      </c>
      <c r="V362">
        <f>AVERAGE(V360:V361)</f>
        <v>173.5</v>
      </c>
      <c r="W362">
        <v>181.5</v>
      </c>
      <c r="X362">
        <f t="shared" si="11"/>
        <v>178.71428571428572</v>
      </c>
      <c r="Y362">
        <v>179.1</v>
      </c>
      <c r="Z362">
        <v>187.2</v>
      </c>
      <c r="AA362">
        <v>169.4</v>
      </c>
      <c r="AB362">
        <v>173.2</v>
      </c>
      <c r="AC362">
        <v>179.4</v>
      </c>
      <c r="AD362">
        <v>183.8</v>
      </c>
      <c r="AE362">
        <v>178.9</v>
      </c>
      <c r="AF362">
        <v>178.8</v>
      </c>
    </row>
    <row r="363" spans="1:36" x14ac:dyDescent="0.3">
      <c r="A363" t="s">
        <v>53</v>
      </c>
      <c r="B363">
        <v>2023</v>
      </c>
      <c r="C363" t="s">
        <v>57</v>
      </c>
      <c r="D363">
        <f t="shared" si="10"/>
        <v>178.28461538461539</v>
      </c>
      <c r="E363">
        <v>174.8</v>
      </c>
      <c r="F363">
        <v>213.7</v>
      </c>
      <c r="G363">
        <v>172.4</v>
      </c>
      <c r="H363">
        <v>178.8</v>
      </c>
      <c r="I363">
        <v>168.7</v>
      </c>
      <c r="J363">
        <v>179.2</v>
      </c>
      <c r="K363">
        <v>179.9</v>
      </c>
      <c r="L363">
        <v>174.7</v>
      </c>
      <c r="M363">
        <v>123.1</v>
      </c>
      <c r="N363">
        <v>207.8</v>
      </c>
      <c r="O363">
        <v>165.5</v>
      </c>
      <c r="P363">
        <v>197</v>
      </c>
      <c r="Q363">
        <v>182.1</v>
      </c>
      <c r="R363">
        <v>203.5</v>
      </c>
      <c r="S363">
        <v>181</v>
      </c>
      <c r="T363">
        <v>167.7</v>
      </c>
      <c r="U363">
        <v>178.9</v>
      </c>
      <c r="V363">
        <v>175.2</v>
      </c>
      <c r="W363">
        <v>182.1</v>
      </c>
      <c r="X363">
        <f t="shared" si="11"/>
        <v>172.78571428571431</v>
      </c>
      <c r="Y363">
        <v>169.6</v>
      </c>
      <c r="Z363">
        <v>181.5</v>
      </c>
      <c r="AA363">
        <v>160.1</v>
      </c>
      <c r="AB363">
        <v>168.8</v>
      </c>
      <c r="AC363">
        <v>174.2</v>
      </c>
      <c r="AD363">
        <v>184.4</v>
      </c>
      <c r="AE363">
        <v>170.9</v>
      </c>
      <c r="AF363">
        <v>177.4</v>
      </c>
    </row>
    <row r="364" spans="1:36" x14ac:dyDescent="0.3">
      <c r="A364" t="s">
        <v>54</v>
      </c>
      <c r="B364">
        <v>2023</v>
      </c>
      <c r="C364" t="s">
        <v>57</v>
      </c>
      <c r="D364">
        <f t="shared" si="10"/>
        <v>176.12307692307695</v>
      </c>
      <c r="E364">
        <v>173.8</v>
      </c>
      <c r="F364">
        <v>209.3</v>
      </c>
      <c r="G364">
        <v>169.6</v>
      </c>
      <c r="H364">
        <v>178.4</v>
      </c>
      <c r="I364">
        <v>174.9</v>
      </c>
      <c r="J364">
        <v>176.3</v>
      </c>
      <c r="K364">
        <v>155.4</v>
      </c>
      <c r="L364">
        <v>173.4</v>
      </c>
      <c r="M364">
        <v>121.3</v>
      </c>
      <c r="N364">
        <v>212.9</v>
      </c>
      <c r="O364">
        <v>172.9</v>
      </c>
      <c r="P364">
        <v>193.5</v>
      </c>
      <c r="Q364">
        <v>177.9</v>
      </c>
      <c r="R364">
        <v>200.6</v>
      </c>
      <c r="S364">
        <v>186.9</v>
      </c>
      <c r="T364">
        <v>179.2</v>
      </c>
      <c r="U364">
        <v>185.7</v>
      </c>
      <c r="V364">
        <v>175.2</v>
      </c>
      <c r="W364">
        <v>181.7</v>
      </c>
      <c r="X364">
        <f t="shared" si="11"/>
        <v>175.7428571428571</v>
      </c>
      <c r="Y364">
        <v>174.6</v>
      </c>
      <c r="Z364">
        <v>185</v>
      </c>
      <c r="AA364">
        <v>164.5</v>
      </c>
      <c r="AB364">
        <v>170.7</v>
      </c>
      <c r="AC364">
        <v>176.4</v>
      </c>
      <c r="AD364">
        <v>184</v>
      </c>
      <c r="AE364">
        <v>175</v>
      </c>
      <c r="AF364">
        <v>178.1</v>
      </c>
    </row>
    <row r="365" spans="1:36" x14ac:dyDescent="0.3">
      <c r="A365" t="s">
        <v>50</v>
      </c>
      <c r="B365">
        <v>2023</v>
      </c>
      <c r="C365" t="s">
        <v>58</v>
      </c>
      <c r="D365">
        <f t="shared" si="10"/>
        <v>176.20769230769235</v>
      </c>
      <c r="E365">
        <v>173.2</v>
      </c>
      <c r="F365">
        <v>211.5</v>
      </c>
      <c r="G365">
        <v>171</v>
      </c>
      <c r="H365">
        <v>179.6</v>
      </c>
      <c r="I365">
        <v>173.3</v>
      </c>
      <c r="J365">
        <v>169</v>
      </c>
      <c r="K365">
        <v>148.69999999999999</v>
      </c>
      <c r="L365">
        <v>174.9</v>
      </c>
      <c r="M365">
        <v>121.9</v>
      </c>
      <c r="N365">
        <v>221</v>
      </c>
      <c r="O365">
        <v>178.7</v>
      </c>
      <c r="P365">
        <v>191.1</v>
      </c>
      <c r="Q365">
        <v>176.8</v>
      </c>
      <c r="R365">
        <v>199.9</v>
      </c>
      <c r="S365">
        <v>191.2</v>
      </c>
      <c r="T365">
        <v>187.9</v>
      </c>
      <c r="U365">
        <v>190.8</v>
      </c>
      <c r="V365">
        <f>AVERAGE(V363:V364)</f>
        <v>175.2</v>
      </c>
      <c r="W365">
        <v>182.5</v>
      </c>
      <c r="X365">
        <f t="shared" si="11"/>
        <v>179.4</v>
      </c>
      <c r="Y365">
        <v>179.8</v>
      </c>
      <c r="Z365">
        <v>187.8</v>
      </c>
      <c r="AA365">
        <v>169.7</v>
      </c>
      <c r="AB365">
        <v>173.8</v>
      </c>
      <c r="AC365">
        <v>180.3</v>
      </c>
      <c r="AD365">
        <v>184.9</v>
      </c>
      <c r="AE365">
        <v>179.5</v>
      </c>
      <c r="AF365">
        <v>179.8</v>
      </c>
    </row>
    <row r="366" spans="1:36" x14ac:dyDescent="0.3">
      <c r="A366" t="s">
        <v>53</v>
      </c>
      <c r="B366">
        <v>2023</v>
      </c>
      <c r="C366" t="s">
        <v>58</v>
      </c>
      <c r="D366">
        <f t="shared" si="10"/>
        <v>179.62307692307692</v>
      </c>
      <c r="E366">
        <v>174.7</v>
      </c>
      <c r="F366">
        <v>219.4</v>
      </c>
      <c r="G366">
        <v>176.7</v>
      </c>
      <c r="H366">
        <v>179.4</v>
      </c>
      <c r="I366">
        <v>164.4</v>
      </c>
      <c r="J366">
        <v>175.8</v>
      </c>
      <c r="K366">
        <v>185</v>
      </c>
      <c r="L366">
        <v>176.9</v>
      </c>
      <c r="M366">
        <v>124.2</v>
      </c>
      <c r="N366">
        <v>211.9</v>
      </c>
      <c r="O366">
        <v>165.9</v>
      </c>
      <c r="P366">
        <v>197.7</v>
      </c>
      <c r="Q366">
        <v>183.1</v>
      </c>
      <c r="R366">
        <v>204.2</v>
      </c>
      <c r="S366">
        <v>181.3</v>
      </c>
      <c r="T366">
        <v>168.1</v>
      </c>
      <c r="U366">
        <v>179.3</v>
      </c>
      <c r="V366">
        <v>175.6</v>
      </c>
      <c r="W366">
        <v>183.4</v>
      </c>
      <c r="X366">
        <f t="shared" si="11"/>
        <v>173.41428571428565</v>
      </c>
      <c r="Y366">
        <v>170.1</v>
      </c>
      <c r="Z366">
        <v>182.2</v>
      </c>
      <c r="AA366">
        <v>160.4</v>
      </c>
      <c r="AB366">
        <v>169.2</v>
      </c>
      <c r="AC366">
        <v>174.8</v>
      </c>
      <c r="AD366">
        <v>185.6</v>
      </c>
      <c r="AE366">
        <v>171.6</v>
      </c>
      <c r="AF366">
        <v>178.2</v>
      </c>
    </row>
    <row r="367" spans="1:36" x14ac:dyDescent="0.3">
      <c r="A367" s="1" t="s">
        <v>54</v>
      </c>
      <c r="B367" s="1">
        <v>2023</v>
      </c>
      <c r="C367" s="1" t="s">
        <v>58</v>
      </c>
      <c r="D367" s="1">
        <f t="shared" si="10"/>
        <v>177.45384615384617</v>
      </c>
      <c r="E367" s="1">
        <v>173.7</v>
      </c>
      <c r="F367" s="1">
        <v>214.3</v>
      </c>
      <c r="G367" s="1">
        <v>173.2</v>
      </c>
      <c r="H367" s="1">
        <v>179.5</v>
      </c>
      <c r="I367" s="1">
        <v>170</v>
      </c>
      <c r="J367" s="1">
        <v>172.2</v>
      </c>
      <c r="K367" s="1">
        <v>161</v>
      </c>
      <c r="L367" s="1">
        <v>175.6</v>
      </c>
      <c r="M367" s="1">
        <v>122.7</v>
      </c>
      <c r="N367" s="1">
        <v>218</v>
      </c>
      <c r="O367" s="1">
        <v>173.4</v>
      </c>
      <c r="P367" s="1">
        <v>194.2</v>
      </c>
      <c r="Q367" s="1">
        <v>179.1</v>
      </c>
      <c r="R367" s="1">
        <v>201</v>
      </c>
      <c r="S367" s="1">
        <v>187.3</v>
      </c>
      <c r="T367" s="1">
        <v>179.7</v>
      </c>
      <c r="U367" s="1">
        <v>186.2</v>
      </c>
      <c r="V367" s="1">
        <v>175.6</v>
      </c>
      <c r="W367" s="1">
        <v>182.8</v>
      </c>
      <c r="X367" s="1">
        <f t="shared" si="11"/>
        <v>176.41428571428574</v>
      </c>
      <c r="Y367">
        <v>175.2</v>
      </c>
      <c r="Z367">
        <v>185.7</v>
      </c>
      <c r="AA367">
        <v>164.8</v>
      </c>
      <c r="AB367">
        <v>171.2</v>
      </c>
      <c r="AC367">
        <v>177.1</v>
      </c>
      <c r="AD367">
        <v>185.2</v>
      </c>
      <c r="AE367">
        <v>175.7</v>
      </c>
      <c r="AF367">
        <v>179.1</v>
      </c>
      <c r="AI367" t="s">
        <v>71</v>
      </c>
      <c r="AJ367">
        <f>SUM(D367,R367,U367,V367,W367,X367)</f>
        <v>1099.4681318681321</v>
      </c>
    </row>
    <row r="368" spans="1:36" x14ac:dyDescent="0.3">
      <c r="A368" s="2"/>
      <c r="B368" s="2"/>
      <c r="C368" s="2"/>
      <c r="D368">
        <f>D367/AJ367*100</f>
        <v>16.139971774564323</v>
      </c>
      <c r="E368" s="2"/>
      <c r="F368" s="2"/>
      <c r="G368" s="2"/>
      <c r="H368" s="2"/>
      <c r="I368" s="2"/>
      <c r="J368" s="2"/>
      <c r="K368" s="2"/>
      <c r="L368" s="2"/>
      <c r="M368" s="2"/>
      <c r="N368" s="2"/>
      <c r="O368" s="2"/>
      <c r="P368" s="2"/>
      <c r="Q368" s="2"/>
      <c r="R368" s="2">
        <f>R367/AJ367*100</f>
        <v>18.281566711576822</v>
      </c>
      <c r="S368" s="2"/>
      <c r="T368" s="2"/>
      <c r="U368" s="2">
        <f>U367/AJ367*100</f>
        <v>16.935461301968179</v>
      </c>
      <c r="V368" s="2">
        <f>V367/AJ367*100</f>
        <v>15.971358778870098</v>
      </c>
      <c r="W368" s="2">
        <f>W367/AJ367*100</f>
        <v>16.626220870031062</v>
      </c>
      <c r="X368">
        <f>X367/AJ367*100</f>
        <v>16.045420562989495</v>
      </c>
    </row>
  </sheetData>
  <autoFilter ref="A1:AF372" xr:uid="{8BE8925D-D3D1-438D-86DD-2A85A6182F74}"/>
  <conditionalFormatting sqref="A368:X368">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FAC9D-DA35-426F-A715-3FEF6D7E1846}">
  <sheetPr filterMode="1"/>
  <dimension ref="A1:AF367"/>
  <sheetViews>
    <sheetView workbookViewId="0">
      <selection activeCell="AF148" sqref="AF148"/>
    </sheetView>
  </sheetViews>
  <sheetFormatPr defaultRowHeight="14.4" x14ac:dyDescent="0.3"/>
  <cols>
    <col min="4" max="29" width="0" hidden="1" customWidth="1"/>
    <col min="30" max="31" width="22" customWidth="1"/>
  </cols>
  <sheetData>
    <row r="1" spans="1:32" x14ac:dyDescent="0.3">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72</v>
      </c>
      <c r="AE1" t="s">
        <v>73</v>
      </c>
      <c r="AF1" t="s">
        <v>49</v>
      </c>
    </row>
    <row r="2" spans="1:32" hidden="1" x14ac:dyDescent="0.3">
      <c r="A2" t="s">
        <v>50</v>
      </c>
      <c r="B2">
        <v>2013</v>
      </c>
      <c r="C2" t="s">
        <v>51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F2">
        <v>105.1</v>
      </c>
    </row>
    <row r="3" spans="1:32" hidden="1" x14ac:dyDescent="0.3">
      <c r="A3" t="s">
        <v>53</v>
      </c>
      <c r="B3">
        <v>2013</v>
      </c>
      <c r="C3" t="s">
        <v>51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F3">
        <v>104</v>
      </c>
    </row>
    <row r="4" spans="1:32" hidden="1" x14ac:dyDescent="0.3">
      <c r="A4" t="s">
        <v>54</v>
      </c>
      <c r="B4">
        <v>2013</v>
      </c>
      <c r="C4" t="s">
        <v>51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F4">
        <v>104.6</v>
      </c>
    </row>
    <row r="5" spans="1:32" hidden="1" x14ac:dyDescent="0.3">
      <c r="A5" t="s">
        <v>50</v>
      </c>
      <c r="B5">
        <v>2013</v>
      </c>
      <c r="C5" t="s">
        <v>55</v>
      </c>
      <c r="D5">
        <v>109.2</v>
      </c>
      <c r="E5">
        <v>108.7</v>
      </c>
      <c r="F5">
        <v>110.2</v>
      </c>
      <c r="G5">
        <v>105.4</v>
      </c>
      <c r="H5">
        <v>106.7</v>
      </c>
      <c r="I5">
        <v>104</v>
      </c>
      <c r="J5">
        <v>102.4</v>
      </c>
      <c r="K5">
        <v>105.9</v>
      </c>
      <c r="L5">
        <v>105.7</v>
      </c>
      <c r="M5">
        <v>103.1</v>
      </c>
      <c r="N5">
        <v>105.1</v>
      </c>
      <c r="O5">
        <v>107.7</v>
      </c>
      <c r="P5">
        <v>106.3</v>
      </c>
      <c r="Q5">
        <v>105.6</v>
      </c>
      <c r="R5">
        <v>107.1</v>
      </c>
      <c r="S5">
        <v>106.3</v>
      </c>
      <c r="T5">
        <v>107</v>
      </c>
      <c r="U5">
        <f>AVERAGE(U3:U4)</f>
        <v>100.3</v>
      </c>
      <c r="V5">
        <v>106.2</v>
      </c>
      <c r="W5">
        <v>105.2</v>
      </c>
      <c r="X5">
        <v>104.4</v>
      </c>
      <c r="Y5">
        <v>103.9</v>
      </c>
      <c r="Z5">
        <v>104</v>
      </c>
      <c r="AA5">
        <v>104.1</v>
      </c>
      <c r="AB5">
        <v>104.6</v>
      </c>
      <c r="AC5">
        <v>104.4</v>
      </c>
      <c r="AF5">
        <v>105.8</v>
      </c>
    </row>
    <row r="6" spans="1:32" hidden="1" x14ac:dyDescent="0.3">
      <c r="A6" t="s">
        <v>53</v>
      </c>
      <c r="B6">
        <v>2013</v>
      </c>
      <c r="C6" t="s">
        <v>55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F6">
        <v>104.7</v>
      </c>
    </row>
    <row r="7" spans="1:32" hidden="1" x14ac:dyDescent="0.3">
      <c r="A7" t="s">
        <v>54</v>
      </c>
      <c r="B7">
        <v>2013</v>
      </c>
      <c r="C7" t="s">
        <v>55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F7">
        <v>105.3</v>
      </c>
    </row>
    <row r="8" spans="1:32" hidden="1" x14ac:dyDescent="0.3">
      <c r="A8" t="s">
        <v>50</v>
      </c>
      <c r="B8">
        <v>2013</v>
      </c>
      <c r="C8" t="s">
        <v>56</v>
      </c>
      <c r="D8">
        <v>110.2</v>
      </c>
      <c r="E8">
        <v>108.8</v>
      </c>
      <c r="F8">
        <v>109.9</v>
      </c>
      <c r="G8">
        <v>105.6</v>
      </c>
      <c r="H8">
        <v>106.2</v>
      </c>
      <c r="I8">
        <v>105.7</v>
      </c>
      <c r="J8">
        <v>101.4</v>
      </c>
      <c r="K8">
        <v>105.7</v>
      </c>
      <c r="L8">
        <v>105</v>
      </c>
      <c r="M8">
        <v>103.3</v>
      </c>
      <c r="N8">
        <v>105.6</v>
      </c>
      <c r="O8">
        <v>108.2</v>
      </c>
      <c r="P8">
        <v>106.6</v>
      </c>
      <c r="Q8">
        <v>106.5</v>
      </c>
      <c r="R8">
        <v>107.6</v>
      </c>
      <c r="S8">
        <v>106.8</v>
      </c>
      <c r="T8">
        <v>107.5</v>
      </c>
      <c r="U8">
        <f>AVERAGE(U6:U7)</f>
        <v>100.4</v>
      </c>
      <c r="V8">
        <v>106.1</v>
      </c>
      <c r="W8">
        <v>105.6</v>
      </c>
      <c r="X8">
        <v>104.7</v>
      </c>
      <c r="Y8">
        <v>104.6</v>
      </c>
      <c r="Z8">
        <v>104</v>
      </c>
      <c r="AA8">
        <v>104.3</v>
      </c>
      <c r="AB8">
        <v>104.3</v>
      </c>
      <c r="AC8">
        <v>104.6</v>
      </c>
      <c r="AF8">
        <v>106</v>
      </c>
    </row>
    <row r="9" spans="1:32" hidden="1" x14ac:dyDescent="0.3">
      <c r="A9" t="s">
        <v>53</v>
      </c>
      <c r="B9">
        <v>2013</v>
      </c>
      <c r="C9" t="s">
        <v>56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F9">
        <v>105</v>
      </c>
    </row>
    <row r="10" spans="1:32" hidden="1" x14ac:dyDescent="0.3">
      <c r="A10" t="s">
        <v>54</v>
      </c>
      <c r="B10">
        <v>2013</v>
      </c>
      <c r="C10" t="s">
        <v>56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F10">
        <v>105.5</v>
      </c>
    </row>
    <row r="11" spans="1:32" hidden="1" x14ac:dyDescent="0.3">
      <c r="A11" t="s">
        <v>50</v>
      </c>
      <c r="B11">
        <v>2013</v>
      </c>
      <c r="C11" t="s">
        <v>57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f>AVERAGE(U9:U10)</f>
        <v>100.4</v>
      </c>
      <c r="V11">
        <v>106.5</v>
      </c>
      <c r="W11">
        <v>106.1</v>
      </c>
      <c r="X11">
        <v>105.1</v>
      </c>
      <c r="Y11">
        <v>104.4</v>
      </c>
      <c r="Z11">
        <v>104.5</v>
      </c>
      <c r="AA11">
        <v>104.8</v>
      </c>
      <c r="AB11">
        <v>102.7</v>
      </c>
      <c r="AC11">
        <v>104.6</v>
      </c>
      <c r="AF11">
        <v>106.4</v>
      </c>
    </row>
    <row r="12" spans="1:32" hidden="1" x14ac:dyDescent="0.3">
      <c r="A12" t="s">
        <v>53</v>
      </c>
      <c r="B12">
        <v>2013</v>
      </c>
      <c r="C12" t="s">
        <v>57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F12">
        <v>105.7</v>
      </c>
    </row>
    <row r="13" spans="1:32" hidden="1" x14ac:dyDescent="0.3">
      <c r="A13" t="s">
        <v>54</v>
      </c>
      <c r="B13">
        <v>2013</v>
      </c>
      <c r="C13" t="s">
        <v>57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F13">
        <v>106.1</v>
      </c>
    </row>
    <row r="14" spans="1:32" hidden="1" x14ac:dyDescent="0.3">
      <c r="A14" t="s">
        <v>50</v>
      </c>
      <c r="B14">
        <v>2013</v>
      </c>
      <c r="C14" t="s">
        <v>58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f>AVERAGE(U12:U13)</f>
        <v>100.5</v>
      </c>
      <c r="V14">
        <v>107.5</v>
      </c>
      <c r="W14">
        <v>106.8</v>
      </c>
      <c r="X14">
        <v>105.7</v>
      </c>
      <c r="Y14">
        <v>104.1</v>
      </c>
      <c r="Z14">
        <v>105</v>
      </c>
      <c r="AA14">
        <v>105.5</v>
      </c>
      <c r="AB14">
        <v>102.1</v>
      </c>
      <c r="AC14">
        <v>104.8</v>
      </c>
      <c r="AF14">
        <v>107.2</v>
      </c>
    </row>
    <row r="15" spans="1:32" hidden="1" x14ac:dyDescent="0.3">
      <c r="A15" t="s">
        <v>53</v>
      </c>
      <c r="B15">
        <v>2013</v>
      </c>
      <c r="C15" t="s">
        <v>58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F15">
        <v>106.6</v>
      </c>
    </row>
    <row r="16" spans="1:32" hidden="1" x14ac:dyDescent="0.3">
      <c r="A16" t="s">
        <v>54</v>
      </c>
      <c r="B16">
        <v>2013</v>
      </c>
      <c r="C16" t="s">
        <v>58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F16">
        <v>106.9</v>
      </c>
    </row>
    <row r="17" spans="1:32" hidden="1" x14ac:dyDescent="0.3">
      <c r="A17" t="s">
        <v>50</v>
      </c>
      <c r="B17">
        <v>2013</v>
      </c>
      <c r="C17" t="s">
        <v>59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f>AVERAGE(U15:U16)</f>
        <v>100.5</v>
      </c>
      <c r="V17">
        <v>108.5</v>
      </c>
      <c r="W17">
        <v>107.5</v>
      </c>
      <c r="X17">
        <v>106.3</v>
      </c>
      <c r="Y17">
        <v>105</v>
      </c>
      <c r="Z17">
        <v>105.6</v>
      </c>
      <c r="AA17">
        <v>106.5</v>
      </c>
      <c r="AB17">
        <v>102.5</v>
      </c>
      <c r="AC17">
        <v>105.5</v>
      </c>
      <c r="AF17">
        <v>108.9</v>
      </c>
    </row>
    <row r="18" spans="1:32" hidden="1" x14ac:dyDescent="0.3">
      <c r="A18" t="s">
        <v>53</v>
      </c>
      <c r="B18">
        <v>2013</v>
      </c>
      <c r="C18" t="s">
        <v>59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F18">
        <v>109.7</v>
      </c>
    </row>
    <row r="19" spans="1:32" hidden="1" x14ac:dyDescent="0.3">
      <c r="A19" t="s">
        <v>54</v>
      </c>
      <c r="B19">
        <v>2013</v>
      </c>
      <c r="C19" t="s">
        <v>59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F19">
        <v>109.3</v>
      </c>
    </row>
    <row r="20" spans="1:32" hidden="1" x14ac:dyDescent="0.3">
      <c r="A20" t="s">
        <v>50</v>
      </c>
      <c r="B20">
        <v>2013</v>
      </c>
      <c r="C20" t="s">
        <v>60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f>AVERAGE(U18:U19)</f>
        <v>106.6</v>
      </c>
      <c r="V20">
        <v>109.5</v>
      </c>
      <c r="W20">
        <v>108.3</v>
      </c>
      <c r="X20">
        <v>106.9</v>
      </c>
      <c r="Y20">
        <v>106.8</v>
      </c>
      <c r="Z20">
        <v>106.4</v>
      </c>
      <c r="AA20">
        <v>107.8</v>
      </c>
      <c r="AB20">
        <v>102.5</v>
      </c>
      <c r="AC20">
        <v>106.5</v>
      </c>
      <c r="AF20">
        <v>110.7</v>
      </c>
    </row>
    <row r="21" spans="1:32" hidden="1" x14ac:dyDescent="0.3">
      <c r="A21" t="s">
        <v>53</v>
      </c>
      <c r="B21">
        <v>2013</v>
      </c>
      <c r="C21" t="s">
        <v>60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F21">
        <v>111.4</v>
      </c>
    </row>
    <row r="22" spans="1:32" hidden="1" x14ac:dyDescent="0.3">
      <c r="A22" t="s">
        <v>54</v>
      </c>
      <c r="B22">
        <v>2013</v>
      </c>
      <c r="C22" t="s">
        <v>60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F22">
        <v>111</v>
      </c>
    </row>
    <row r="23" spans="1:32" hidden="1" x14ac:dyDescent="0.3">
      <c r="A23" t="s">
        <v>50</v>
      </c>
      <c r="B23">
        <v>2013</v>
      </c>
      <c r="C23" t="s">
        <v>61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f>AVERAGE(U21:U22)</f>
        <v>107.7</v>
      </c>
      <c r="V23">
        <v>109.9</v>
      </c>
      <c r="W23">
        <v>108.7</v>
      </c>
      <c r="X23">
        <v>107.5</v>
      </c>
      <c r="Y23">
        <v>107.8</v>
      </c>
      <c r="Z23">
        <v>106.8</v>
      </c>
      <c r="AA23">
        <v>108.7</v>
      </c>
      <c r="AB23">
        <v>105</v>
      </c>
      <c r="AC23">
        <v>107.5</v>
      </c>
      <c r="AF23">
        <v>112.1</v>
      </c>
    </row>
    <row r="24" spans="1:32" hidden="1" x14ac:dyDescent="0.3">
      <c r="A24" t="s">
        <v>53</v>
      </c>
      <c r="B24">
        <v>2013</v>
      </c>
      <c r="C24" t="s">
        <v>61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F24">
        <v>112.7</v>
      </c>
    </row>
    <row r="25" spans="1:32" hidden="1" x14ac:dyDescent="0.3">
      <c r="A25" t="s">
        <v>54</v>
      </c>
      <c r="B25">
        <v>2013</v>
      </c>
      <c r="C25" t="s">
        <v>61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F25">
        <v>112.4</v>
      </c>
    </row>
    <row r="26" spans="1:32" hidden="1" x14ac:dyDescent="0.3">
      <c r="A26" t="s">
        <v>50</v>
      </c>
      <c r="B26">
        <v>2013</v>
      </c>
      <c r="C26" t="s">
        <v>62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f>AVERAGE(U24:U25)</f>
        <v>108.9</v>
      </c>
      <c r="V26">
        <v>111.1</v>
      </c>
      <c r="W26">
        <v>109.6</v>
      </c>
      <c r="X26">
        <v>108.3</v>
      </c>
      <c r="Y26">
        <v>109.3</v>
      </c>
      <c r="Z26">
        <v>107.7</v>
      </c>
      <c r="AA26">
        <v>109.8</v>
      </c>
      <c r="AB26">
        <v>106.7</v>
      </c>
      <c r="AC26">
        <v>108.7</v>
      </c>
      <c r="AF26">
        <v>114.2</v>
      </c>
    </row>
    <row r="27" spans="1:32" hidden="1" x14ac:dyDescent="0.3">
      <c r="A27" t="s">
        <v>53</v>
      </c>
      <c r="B27">
        <v>2013</v>
      </c>
      <c r="C27" t="s">
        <v>62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F27">
        <v>113.2</v>
      </c>
    </row>
    <row r="28" spans="1:32" hidden="1" x14ac:dyDescent="0.3">
      <c r="A28" t="s">
        <v>54</v>
      </c>
      <c r="B28">
        <v>2013</v>
      </c>
      <c r="C28" t="s">
        <v>62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F28">
        <v>113.7</v>
      </c>
    </row>
    <row r="29" spans="1:32" hidden="1" x14ac:dyDescent="0.3">
      <c r="A29" t="s">
        <v>50</v>
      </c>
      <c r="B29">
        <v>2013</v>
      </c>
      <c r="C29" t="s">
        <v>63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f>AVERAGE(U27:U28)</f>
        <v>109.7</v>
      </c>
      <c r="V29">
        <v>111.6</v>
      </c>
      <c r="W29">
        <v>110.4</v>
      </c>
      <c r="X29">
        <v>108.9</v>
      </c>
      <c r="Y29">
        <v>109.3</v>
      </c>
      <c r="Z29">
        <v>108.3</v>
      </c>
      <c r="AA29">
        <v>110.2</v>
      </c>
      <c r="AB29">
        <v>107.5</v>
      </c>
      <c r="AC29">
        <v>109.1</v>
      </c>
      <c r="AF29">
        <v>115.5</v>
      </c>
    </row>
    <row r="30" spans="1:32" hidden="1" x14ac:dyDescent="0.3">
      <c r="A30" t="s">
        <v>53</v>
      </c>
      <c r="B30">
        <v>2013</v>
      </c>
      <c r="C30" t="s">
        <v>63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F30">
        <v>114</v>
      </c>
    </row>
    <row r="31" spans="1:32" hidden="1" x14ac:dyDescent="0.3">
      <c r="A31" t="s">
        <v>54</v>
      </c>
      <c r="B31">
        <v>2013</v>
      </c>
      <c r="C31" t="s">
        <v>63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F31">
        <v>114.8</v>
      </c>
    </row>
    <row r="32" spans="1:32" hidden="1" x14ac:dyDescent="0.3">
      <c r="A32" t="s">
        <v>50</v>
      </c>
      <c r="B32">
        <v>2013</v>
      </c>
      <c r="C32" t="s">
        <v>64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f>AVERAGE(U30:U31)</f>
        <v>110.5</v>
      </c>
      <c r="V32">
        <v>112.6</v>
      </c>
      <c r="W32">
        <v>111.3</v>
      </c>
      <c r="X32">
        <v>109.7</v>
      </c>
      <c r="Y32">
        <v>109.6</v>
      </c>
      <c r="Z32">
        <v>108.7</v>
      </c>
      <c r="AA32">
        <v>111</v>
      </c>
      <c r="AB32">
        <v>108.2</v>
      </c>
      <c r="AC32">
        <v>109.8</v>
      </c>
      <c r="AF32">
        <v>117.4</v>
      </c>
    </row>
    <row r="33" spans="1:32" hidden="1" x14ac:dyDescent="0.3">
      <c r="A33" t="s">
        <v>53</v>
      </c>
      <c r="B33">
        <v>2013</v>
      </c>
      <c r="C33" t="s">
        <v>65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F33">
        <v>115</v>
      </c>
    </row>
    <row r="34" spans="1:32" hidden="1" x14ac:dyDescent="0.3">
      <c r="A34" t="s">
        <v>54</v>
      </c>
      <c r="B34">
        <v>2013</v>
      </c>
      <c r="C34" t="s">
        <v>65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F34">
        <v>116.3</v>
      </c>
    </row>
    <row r="35" spans="1:32" hidden="1" x14ac:dyDescent="0.3">
      <c r="A35" t="s">
        <v>50</v>
      </c>
      <c r="B35">
        <v>2013</v>
      </c>
      <c r="C35" t="s">
        <v>66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f>AVERAGE(U33:U34)</f>
        <v>111.1</v>
      </c>
      <c r="V35">
        <v>112.8</v>
      </c>
      <c r="W35">
        <v>112.1</v>
      </c>
      <c r="X35">
        <v>110.1</v>
      </c>
      <c r="Y35">
        <v>109.9</v>
      </c>
      <c r="Z35">
        <v>109.2</v>
      </c>
      <c r="AA35">
        <v>111.6</v>
      </c>
      <c r="AB35">
        <v>108.1</v>
      </c>
      <c r="AC35">
        <v>110.1</v>
      </c>
      <c r="AF35">
        <v>115.5</v>
      </c>
    </row>
    <row r="36" spans="1:32" hidden="1" x14ac:dyDescent="0.3">
      <c r="A36" t="s">
        <v>53</v>
      </c>
      <c r="B36">
        <v>2013</v>
      </c>
      <c r="C36" t="s">
        <v>66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F36">
        <v>113.3</v>
      </c>
    </row>
    <row r="37" spans="1:32" hidden="1" x14ac:dyDescent="0.3">
      <c r="A37" t="s">
        <v>54</v>
      </c>
      <c r="B37">
        <v>2013</v>
      </c>
      <c r="C37" t="s">
        <v>66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F37">
        <v>114.5</v>
      </c>
    </row>
    <row r="38" spans="1:32" hidden="1" x14ac:dyDescent="0.3">
      <c r="A38" t="s">
        <v>50</v>
      </c>
      <c r="B38">
        <v>2014</v>
      </c>
      <c r="C38" t="s">
        <v>51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f>AVERAGE(U36:U37)</f>
        <v>110.7</v>
      </c>
      <c r="V38">
        <v>113</v>
      </c>
      <c r="W38">
        <v>112.6</v>
      </c>
      <c r="X38">
        <v>110.6</v>
      </c>
      <c r="Y38">
        <v>110.5</v>
      </c>
      <c r="Z38">
        <v>109.6</v>
      </c>
      <c r="AA38">
        <v>111.8</v>
      </c>
      <c r="AB38">
        <v>108.3</v>
      </c>
      <c r="AC38">
        <v>110.6</v>
      </c>
      <c r="AF38">
        <v>114.2</v>
      </c>
    </row>
    <row r="39" spans="1:32" hidden="1" x14ac:dyDescent="0.3">
      <c r="A39" t="s">
        <v>53</v>
      </c>
      <c r="B39">
        <v>2014</v>
      </c>
      <c r="C39" t="s">
        <v>51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F39">
        <v>112.9</v>
      </c>
    </row>
    <row r="40" spans="1:32" hidden="1" x14ac:dyDescent="0.3">
      <c r="A40" t="s">
        <v>54</v>
      </c>
      <c r="B40">
        <v>2014</v>
      </c>
      <c r="C40" t="s">
        <v>51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F40">
        <v>113.6</v>
      </c>
    </row>
    <row r="41" spans="1:32" hidden="1" x14ac:dyDescent="0.3">
      <c r="A41" t="s">
        <v>50</v>
      </c>
      <c r="B41">
        <v>2014</v>
      </c>
      <c r="C41" t="s">
        <v>55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f>AVERAGE(U39:U40)</f>
        <v>111.6</v>
      </c>
      <c r="V41">
        <v>113.2</v>
      </c>
      <c r="W41">
        <v>112.9</v>
      </c>
      <c r="X41">
        <v>110.9</v>
      </c>
      <c r="Y41">
        <v>110.8</v>
      </c>
      <c r="Z41">
        <v>109.9</v>
      </c>
      <c r="AA41">
        <v>112</v>
      </c>
      <c r="AB41">
        <v>108.7</v>
      </c>
      <c r="AC41">
        <v>110.9</v>
      </c>
      <c r="AF41">
        <v>114</v>
      </c>
    </row>
    <row r="42" spans="1:32" hidden="1" x14ac:dyDescent="0.3">
      <c r="A42" t="s">
        <v>53</v>
      </c>
      <c r="B42">
        <v>2014</v>
      </c>
      <c r="C42" t="s">
        <v>55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F42">
        <v>113.1</v>
      </c>
    </row>
    <row r="43" spans="1:32" hidden="1" x14ac:dyDescent="0.3">
      <c r="A43" t="s">
        <v>54</v>
      </c>
      <c r="B43">
        <v>2014</v>
      </c>
      <c r="C43" t="s">
        <v>55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F43">
        <v>113.6</v>
      </c>
    </row>
    <row r="44" spans="1:32" hidden="1" x14ac:dyDescent="0.3">
      <c r="A44" t="s">
        <v>50</v>
      </c>
      <c r="B44">
        <v>2014</v>
      </c>
      <c r="C44" t="s">
        <v>56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f>AVERAGE(U42:U43)</f>
        <v>112.5</v>
      </c>
      <c r="V44">
        <v>113.4</v>
      </c>
      <c r="W44">
        <v>113.4</v>
      </c>
      <c r="X44">
        <v>111.4</v>
      </c>
      <c r="Y44">
        <v>111.2</v>
      </c>
      <c r="Z44">
        <v>110.2</v>
      </c>
      <c r="AA44">
        <v>112.4</v>
      </c>
      <c r="AB44">
        <v>108.9</v>
      </c>
      <c r="AC44">
        <v>111.3</v>
      </c>
      <c r="AF44">
        <v>114.6</v>
      </c>
    </row>
    <row r="45" spans="1:32" hidden="1" x14ac:dyDescent="0.3">
      <c r="A45" t="s">
        <v>53</v>
      </c>
      <c r="B45">
        <v>2014</v>
      </c>
      <c r="C45" t="s">
        <v>56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F45">
        <v>113.7</v>
      </c>
    </row>
    <row r="46" spans="1:32" hidden="1" x14ac:dyDescent="0.3">
      <c r="A46" t="s">
        <v>54</v>
      </c>
      <c r="B46">
        <v>2014</v>
      </c>
      <c r="C46" t="s">
        <v>56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F46">
        <v>114.2</v>
      </c>
    </row>
    <row r="47" spans="1:32" hidden="1" x14ac:dyDescent="0.3">
      <c r="A47" t="s">
        <v>50</v>
      </c>
      <c r="B47">
        <v>2014</v>
      </c>
      <c r="C47" t="s">
        <v>57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f>AVERAGE(U45:U46)</f>
        <v>113.2</v>
      </c>
      <c r="V47">
        <v>113.4</v>
      </c>
      <c r="W47">
        <v>113.7</v>
      </c>
      <c r="X47">
        <v>111.8</v>
      </c>
      <c r="Y47">
        <v>111.2</v>
      </c>
      <c r="Z47">
        <v>110.5</v>
      </c>
      <c r="AA47">
        <v>113</v>
      </c>
      <c r="AB47">
        <v>108.9</v>
      </c>
      <c r="AC47">
        <v>111.5</v>
      </c>
      <c r="AF47">
        <v>115.4</v>
      </c>
    </row>
    <row r="48" spans="1:32" hidden="1" x14ac:dyDescent="0.3">
      <c r="A48" t="s">
        <v>53</v>
      </c>
      <c r="B48">
        <v>2014</v>
      </c>
      <c r="C48" t="s">
        <v>57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F48">
        <v>114.7</v>
      </c>
    </row>
    <row r="49" spans="1:32" hidden="1" x14ac:dyDescent="0.3">
      <c r="A49" t="s">
        <v>54</v>
      </c>
      <c r="B49">
        <v>2014</v>
      </c>
      <c r="C49" t="s">
        <v>57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F49">
        <v>115.1</v>
      </c>
    </row>
    <row r="50" spans="1:32" hidden="1" x14ac:dyDescent="0.3">
      <c r="A50" t="s">
        <v>50</v>
      </c>
      <c r="B50">
        <v>2014</v>
      </c>
      <c r="C50" t="s">
        <v>58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f>AVERAGE(U48:U49)</f>
        <v>113.9</v>
      </c>
      <c r="V50">
        <v>113.4</v>
      </c>
      <c r="W50">
        <v>114.1</v>
      </c>
      <c r="X50">
        <v>112.1</v>
      </c>
      <c r="Y50">
        <v>111.4</v>
      </c>
      <c r="Z50">
        <v>110.9</v>
      </c>
      <c r="AA50">
        <v>113.1</v>
      </c>
      <c r="AB50">
        <v>108.9</v>
      </c>
      <c r="AC50">
        <v>111.8</v>
      </c>
      <c r="AF50">
        <v>116</v>
      </c>
    </row>
    <row r="51" spans="1:32" hidden="1" x14ac:dyDescent="0.3">
      <c r="A51" t="s">
        <v>53</v>
      </c>
      <c r="B51">
        <v>2014</v>
      </c>
      <c r="C51" t="s">
        <v>58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F51">
        <v>115.6</v>
      </c>
    </row>
    <row r="52" spans="1:32" hidden="1" x14ac:dyDescent="0.3">
      <c r="A52" t="s">
        <v>54</v>
      </c>
      <c r="B52">
        <v>2014</v>
      </c>
      <c r="C52" t="s">
        <v>58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F52">
        <v>115.8</v>
      </c>
    </row>
    <row r="53" spans="1:32" hidden="1" x14ac:dyDescent="0.3">
      <c r="A53" t="s">
        <v>50</v>
      </c>
      <c r="B53">
        <v>2014</v>
      </c>
      <c r="C53" t="s">
        <v>59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f>AVERAGE(U51:U52)</f>
        <v>114.3</v>
      </c>
      <c r="V53">
        <v>114.4</v>
      </c>
      <c r="W53">
        <v>114.9</v>
      </c>
      <c r="X53">
        <v>112.8</v>
      </c>
      <c r="Y53">
        <v>112.2</v>
      </c>
      <c r="Z53">
        <v>111.4</v>
      </c>
      <c r="AA53">
        <v>114.3</v>
      </c>
      <c r="AB53">
        <v>108</v>
      </c>
      <c r="AC53">
        <v>112.3</v>
      </c>
      <c r="AF53">
        <v>117</v>
      </c>
    </row>
    <row r="54" spans="1:32" hidden="1" x14ac:dyDescent="0.3">
      <c r="A54" t="s">
        <v>53</v>
      </c>
      <c r="B54">
        <v>2014</v>
      </c>
      <c r="C54" t="s">
        <v>59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F54">
        <v>116.4</v>
      </c>
    </row>
    <row r="55" spans="1:32" hidden="1" x14ac:dyDescent="0.3">
      <c r="A55" t="s">
        <v>54</v>
      </c>
      <c r="B55">
        <v>2014</v>
      </c>
      <c r="C55" t="s">
        <v>59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F55">
        <v>116.7</v>
      </c>
    </row>
    <row r="56" spans="1:32" hidden="1" x14ac:dyDescent="0.3">
      <c r="A56" t="s">
        <v>50</v>
      </c>
      <c r="B56">
        <v>2014</v>
      </c>
      <c r="C56" t="s">
        <v>60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f>AVERAGE(U54:U55)</f>
        <v>113.9</v>
      </c>
      <c r="V56">
        <v>115.3</v>
      </c>
      <c r="W56">
        <v>115.4</v>
      </c>
      <c r="X56">
        <v>113.4</v>
      </c>
      <c r="Y56">
        <v>113.2</v>
      </c>
      <c r="Z56">
        <v>111.8</v>
      </c>
      <c r="AA56">
        <v>115.5</v>
      </c>
      <c r="AB56">
        <v>108.8</v>
      </c>
      <c r="AC56">
        <v>113.1</v>
      </c>
      <c r="AF56">
        <v>119.5</v>
      </c>
    </row>
    <row r="57" spans="1:32" hidden="1" x14ac:dyDescent="0.3">
      <c r="A57" t="s">
        <v>53</v>
      </c>
      <c r="B57">
        <v>2014</v>
      </c>
      <c r="C57" t="s">
        <v>60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F57">
        <v>118.9</v>
      </c>
    </row>
    <row r="58" spans="1:32" hidden="1" x14ac:dyDescent="0.3">
      <c r="A58" t="s">
        <v>54</v>
      </c>
      <c r="B58">
        <v>2014</v>
      </c>
      <c r="C58" t="s">
        <v>60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F58">
        <v>119.2</v>
      </c>
    </row>
    <row r="59" spans="1:32" hidden="1" x14ac:dyDescent="0.3">
      <c r="A59" t="s">
        <v>50</v>
      </c>
      <c r="B59">
        <v>2014</v>
      </c>
      <c r="C59" t="s">
        <v>61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f>AVERAGE(U57:U58)</f>
        <v>114.8</v>
      </c>
      <c r="V59">
        <v>115.4</v>
      </c>
      <c r="W59">
        <v>115.9</v>
      </c>
      <c r="X59">
        <v>114</v>
      </c>
      <c r="Y59">
        <v>113.2</v>
      </c>
      <c r="Z59">
        <v>112.2</v>
      </c>
      <c r="AA59">
        <v>116.2</v>
      </c>
      <c r="AB59">
        <v>109.4</v>
      </c>
      <c r="AC59">
        <v>113.5</v>
      </c>
      <c r="AF59">
        <v>120.7</v>
      </c>
    </row>
    <row r="60" spans="1:32" hidden="1" x14ac:dyDescent="0.3">
      <c r="A60" t="s">
        <v>53</v>
      </c>
      <c r="B60">
        <v>2014</v>
      </c>
      <c r="C60" t="s">
        <v>61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F60">
        <v>119.9</v>
      </c>
    </row>
    <row r="61" spans="1:32" hidden="1" x14ac:dyDescent="0.3">
      <c r="A61" t="s">
        <v>54</v>
      </c>
      <c r="B61">
        <v>2014</v>
      </c>
      <c r="C61" t="s">
        <v>61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F61">
        <v>120.3</v>
      </c>
    </row>
    <row r="62" spans="1:32" hidden="1" x14ac:dyDescent="0.3">
      <c r="A62" t="s">
        <v>50</v>
      </c>
      <c r="B62">
        <v>2014</v>
      </c>
      <c r="C62" t="s">
        <v>62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f>AVERAGE(U60:U61)</f>
        <v>115.5</v>
      </c>
      <c r="V62">
        <v>115.8</v>
      </c>
      <c r="W62">
        <v>116.7</v>
      </c>
      <c r="X62">
        <v>114.5</v>
      </c>
      <c r="Y62">
        <v>112.8</v>
      </c>
      <c r="Z62">
        <v>112.6</v>
      </c>
      <c r="AA62">
        <v>116.6</v>
      </c>
      <c r="AB62">
        <v>109.1</v>
      </c>
      <c r="AC62">
        <v>113.7</v>
      </c>
      <c r="AF62">
        <v>120.9</v>
      </c>
    </row>
    <row r="63" spans="1:32" hidden="1" x14ac:dyDescent="0.3">
      <c r="A63" t="s">
        <v>53</v>
      </c>
      <c r="B63">
        <v>2014</v>
      </c>
      <c r="C63" t="s">
        <v>62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F63">
        <v>119.2</v>
      </c>
    </row>
    <row r="64" spans="1:32" hidden="1" x14ac:dyDescent="0.3">
      <c r="A64" t="s">
        <v>54</v>
      </c>
      <c r="B64">
        <v>2014</v>
      </c>
      <c r="C64" t="s">
        <v>62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F64">
        <v>120.1</v>
      </c>
    </row>
    <row r="65" spans="1:32" hidden="1" x14ac:dyDescent="0.3">
      <c r="A65" t="s">
        <v>50</v>
      </c>
      <c r="B65">
        <v>2014</v>
      </c>
      <c r="C65" t="s">
        <v>63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f>AVERAGE(U63:U64)</f>
        <v>116.1</v>
      </c>
      <c r="V65">
        <v>116.4</v>
      </c>
      <c r="W65">
        <v>117.5</v>
      </c>
      <c r="X65">
        <v>115.3</v>
      </c>
      <c r="Y65">
        <v>112.6</v>
      </c>
      <c r="Z65">
        <v>113</v>
      </c>
      <c r="AA65">
        <v>116.9</v>
      </c>
      <c r="AB65">
        <v>109.3</v>
      </c>
      <c r="AC65">
        <v>114</v>
      </c>
      <c r="AF65">
        <v>121</v>
      </c>
    </row>
    <row r="66" spans="1:32" hidden="1" x14ac:dyDescent="0.3">
      <c r="A66" t="s">
        <v>53</v>
      </c>
      <c r="B66">
        <v>2014</v>
      </c>
      <c r="C66" t="s">
        <v>63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F66">
        <v>119.1</v>
      </c>
    </row>
    <row r="67" spans="1:32" hidden="1" x14ac:dyDescent="0.3">
      <c r="A67" t="s">
        <v>54</v>
      </c>
      <c r="B67">
        <v>2014</v>
      </c>
      <c r="C67" t="s">
        <v>63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F67">
        <v>120.1</v>
      </c>
    </row>
    <row r="68" spans="1:32" hidden="1" x14ac:dyDescent="0.3">
      <c r="A68" t="s">
        <v>50</v>
      </c>
      <c r="B68">
        <v>2014</v>
      </c>
      <c r="C68" t="s">
        <v>65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f>AVERAGE(U66:U67)</f>
        <v>116.7</v>
      </c>
      <c r="V68">
        <v>117.3</v>
      </c>
      <c r="W68">
        <v>118.1</v>
      </c>
      <c r="X68">
        <v>115.9</v>
      </c>
      <c r="Y68">
        <v>112</v>
      </c>
      <c r="Z68">
        <v>113.3</v>
      </c>
      <c r="AA68">
        <v>117.2</v>
      </c>
      <c r="AB68">
        <v>108.8</v>
      </c>
      <c r="AC68">
        <v>114.1</v>
      </c>
      <c r="AF68">
        <v>121.1</v>
      </c>
    </row>
    <row r="69" spans="1:32" hidden="1" x14ac:dyDescent="0.3">
      <c r="A69" t="s">
        <v>53</v>
      </c>
      <c r="B69">
        <v>2014</v>
      </c>
      <c r="C69" t="s">
        <v>65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F69">
        <v>119</v>
      </c>
    </row>
    <row r="70" spans="1:32" hidden="1" x14ac:dyDescent="0.3">
      <c r="A70" t="s">
        <v>54</v>
      </c>
      <c r="B70">
        <v>2014</v>
      </c>
      <c r="C70" t="s">
        <v>65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F70">
        <v>120.1</v>
      </c>
    </row>
    <row r="71" spans="1:32" hidden="1" x14ac:dyDescent="0.3">
      <c r="A71" t="s">
        <v>50</v>
      </c>
      <c r="B71">
        <v>2014</v>
      </c>
      <c r="C71" t="s">
        <v>66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f>AVERAGE(U69:U70)</f>
        <v>117.1</v>
      </c>
      <c r="V71">
        <v>117.4</v>
      </c>
      <c r="W71">
        <v>118.2</v>
      </c>
      <c r="X71">
        <v>116.2</v>
      </c>
      <c r="Y71">
        <v>111.5</v>
      </c>
      <c r="Z71">
        <v>113.3</v>
      </c>
      <c r="AA71">
        <v>117.7</v>
      </c>
      <c r="AB71">
        <v>109.4</v>
      </c>
      <c r="AC71">
        <v>114.2</v>
      </c>
      <c r="AF71">
        <v>120.3</v>
      </c>
    </row>
    <row r="72" spans="1:32" hidden="1" x14ac:dyDescent="0.3">
      <c r="A72" t="s">
        <v>53</v>
      </c>
      <c r="B72">
        <v>2014</v>
      </c>
      <c r="C72" t="s">
        <v>66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F72">
        <v>118.4</v>
      </c>
    </row>
    <row r="73" spans="1:32" hidden="1" x14ac:dyDescent="0.3">
      <c r="A73" t="s">
        <v>54</v>
      </c>
      <c r="B73">
        <v>2014</v>
      </c>
      <c r="C73" t="s">
        <v>66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F73">
        <v>119.4</v>
      </c>
    </row>
    <row r="74" spans="1:32" hidden="1" x14ac:dyDescent="0.3">
      <c r="A74" t="s">
        <v>50</v>
      </c>
      <c r="B74">
        <v>2015</v>
      </c>
      <c r="C74" t="s">
        <v>51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f>AVERAGE(U72:U73)</f>
        <v>116.5</v>
      </c>
      <c r="V74">
        <v>118.4</v>
      </c>
      <c r="W74">
        <v>118.9</v>
      </c>
      <c r="X74">
        <v>116.6</v>
      </c>
      <c r="Y74">
        <v>111</v>
      </c>
      <c r="Z74">
        <v>114</v>
      </c>
      <c r="AA74">
        <v>118.2</v>
      </c>
      <c r="AB74">
        <v>110.2</v>
      </c>
      <c r="AC74">
        <v>114.5</v>
      </c>
      <c r="AF74">
        <v>120.3</v>
      </c>
    </row>
    <row r="75" spans="1:32" hidden="1" x14ac:dyDescent="0.3">
      <c r="A75" t="s">
        <v>53</v>
      </c>
      <c r="B75">
        <v>2015</v>
      </c>
      <c r="C75" t="s">
        <v>51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F75">
        <v>118.5</v>
      </c>
    </row>
    <row r="76" spans="1:32" hidden="1" x14ac:dyDescent="0.3">
      <c r="A76" t="s">
        <v>54</v>
      </c>
      <c r="B76">
        <v>2015</v>
      </c>
      <c r="C76" t="s">
        <v>51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F76">
        <v>119.5</v>
      </c>
    </row>
    <row r="77" spans="1:32" hidden="1" x14ac:dyDescent="0.3">
      <c r="A77" t="s">
        <v>50</v>
      </c>
      <c r="B77">
        <v>2015</v>
      </c>
      <c r="C77" t="s">
        <v>55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f>AVERAGE(U75:U76)</f>
        <v>117.3</v>
      </c>
      <c r="V77">
        <v>120</v>
      </c>
      <c r="W77">
        <v>119.6</v>
      </c>
      <c r="X77">
        <v>117.7</v>
      </c>
      <c r="Y77">
        <v>110.9</v>
      </c>
      <c r="Z77">
        <v>114.8</v>
      </c>
      <c r="AA77">
        <v>118.7</v>
      </c>
      <c r="AB77">
        <v>110.8</v>
      </c>
      <c r="AC77">
        <v>115</v>
      </c>
      <c r="AF77">
        <v>120.6</v>
      </c>
    </row>
    <row r="78" spans="1:32" hidden="1" x14ac:dyDescent="0.3">
      <c r="A78" t="s">
        <v>53</v>
      </c>
      <c r="B78">
        <v>2015</v>
      </c>
      <c r="C78" t="s">
        <v>55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F78">
        <v>118.7</v>
      </c>
    </row>
    <row r="79" spans="1:32" hidden="1" x14ac:dyDescent="0.3">
      <c r="A79" t="s">
        <v>54</v>
      </c>
      <c r="B79">
        <v>2015</v>
      </c>
      <c r="C79" t="s">
        <v>55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F79">
        <v>119.7</v>
      </c>
    </row>
    <row r="80" spans="1:32" hidden="1" x14ac:dyDescent="0.3">
      <c r="A80" t="s">
        <v>50</v>
      </c>
      <c r="B80">
        <v>2015</v>
      </c>
      <c r="C80" t="s">
        <v>56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f>AVERAGE(U78:U79)</f>
        <v>118.1</v>
      </c>
      <c r="V80">
        <v>120.6</v>
      </c>
      <c r="W80">
        <v>120.2</v>
      </c>
      <c r="X80">
        <v>118.2</v>
      </c>
      <c r="Y80">
        <v>111.6</v>
      </c>
      <c r="Z80">
        <v>115.5</v>
      </c>
      <c r="AA80">
        <v>119.4</v>
      </c>
      <c r="AB80">
        <v>110.8</v>
      </c>
      <c r="AC80">
        <v>115.5</v>
      </c>
      <c r="AF80">
        <v>121.1</v>
      </c>
    </row>
    <row r="81" spans="1:32" hidden="1" x14ac:dyDescent="0.3">
      <c r="A81" t="s">
        <v>53</v>
      </c>
      <c r="B81">
        <v>2015</v>
      </c>
      <c r="C81" t="s">
        <v>56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F81">
        <v>119.1</v>
      </c>
    </row>
    <row r="82" spans="1:32" hidden="1" x14ac:dyDescent="0.3">
      <c r="A82" t="s">
        <v>54</v>
      </c>
      <c r="B82">
        <v>2015</v>
      </c>
      <c r="C82" t="s">
        <v>56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F82">
        <v>120.2</v>
      </c>
    </row>
    <row r="83" spans="1:32" hidden="1" x14ac:dyDescent="0.3">
      <c r="A83" t="s">
        <v>50</v>
      </c>
      <c r="B83">
        <v>2015</v>
      </c>
      <c r="C83" t="s">
        <v>57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f>AVERAGE(U81:U82)</f>
        <v>118.6</v>
      </c>
      <c r="V83">
        <v>121.2</v>
      </c>
      <c r="W83">
        <v>120.9</v>
      </c>
      <c r="X83">
        <v>118.6</v>
      </c>
      <c r="Y83">
        <v>111.9</v>
      </c>
      <c r="Z83">
        <v>116.2</v>
      </c>
      <c r="AA83">
        <v>119.9</v>
      </c>
      <c r="AB83">
        <v>111.6</v>
      </c>
      <c r="AC83">
        <v>116</v>
      </c>
      <c r="AF83">
        <v>121.5</v>
      </c>
    </row>
    <row r="84" spans="1:32" hidden="1" x14ac:dyDescent="0.3">
      <c r="A84" t="s">
        <v>53</v>
      </c>
      <c r="B84">
        <v>2015</v>
      </c>
      <c r="C84" t="s">
        <v>57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F84">
        <v>119.7</v>
      </c>
    </row>
    <row r="85" spans="1:32" hidden="1" x14ac:dyDescent="0.3">
      <c r="A85" t="s">
        <v>54</v>
      </c>
      <c r="B85">
        <v>2015</v>
      </c>
      <c r="C85" t="s">
        <v>57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F85">
        <v>120.7</v>
      </c>
    </row>
    <row r="86" spans="1:32" hidden="1" x14ac:dyDescent="0.3">
      <c r="A86" t="s">
        <v>50</v>
      </c>
      <c r="B86">
        <v>2015</v>
      </c>
      <c r="C86" t="s">
        <v>58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f>AVERAGE(U84:U85)</f>
        <v>119.2</v>
      </c>
      <c r="V86">
        <v>121.9</v>
      </c>
      <c r="W86">
        <v>121.5</v>
      </c>
      <c r="X86">
        <v>119.4</v>
      </c>
      <c r="Y86">
        <v>113.3</v>
      </c>
      <c r="Z86">
        <v>116.7</v>
      </c>
      <c r="AA86">
        <v>120.5</v>
      </c>
      <c r="AB86">
        <v>112.3</v>
      </c>
      <c r="AC86">
        <v>116.9</v>
      </c>
      <c r="AF86">
        <v>122.4</v>
      </c>
    </row>
    <row r="87" spans="1:32" hidden="1" x14ac:dyDescent="0.3">
      <c r="A87" t="s">
        <v>53</v>
      </c>
      <c r="B87">
        <v>2015</v>
      </c>
      <c r="C87" t="s">
        <v>58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F87">
        <v>120.7</v>
      </c>
    </row>
    <row r="88" spans="1:32" hidden="1" x14ac:dyDescent="0.3">
      <c r="A88" t="s">
        <v>54</v>
      </c>
      <c r="B88">
        <v>2015</v>
      </c>
      <c r="C88" t="s">
        <v>58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F88">
        <v>121.6</v>
      </c>
    </row>
    <row r="89" spans="1:32" hidden="1" x14ac:dyDescent="0.3">
      <c r="A89" t="s">
        <v>50</v>
      </c>
      <c r="B89">
        <v>2015</v>
      </c>
      <c r="C89" t="s">
        <v>59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f>AVERAGE(U87:U88)</f>
        <v>119.6</v>
      </c>
      <c r="V89">
        <v>122.6</v>
      </c>
      <c r="W89">
        <v>122.8</v>
      </c>
      <c r="X89">
        <v>120.4</v>
      </c>
      <c r="Y89">
        <v>114.2</v>
      </c>
      <c r="Z89">
        <v>117.9</v>
      </c>
      <c r="AA89">
        <v>122</v>
      </c>
      <c r="AB89">
        <v>113</v>
      </c>
      <c r="AC89">
        <v>117.9</v>
      </c>
      <c r="AF89">
        <v>124.1</v>
      </c>
    </row>
    <row r="90" spans="1:32" hidden="1" x14ac:dyDescent="0.3">
      <c r="A90" t="s">
        <v>53</v>
      </c>
      <c r="B90">
        <v>2015</v>
      </c>
      <c r="C90" t="s">
        <v>59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F90">
        <v>121.7</v>
      </c>
    </row>
    <row r="91" spans="1:32" hidden="1" x14ac:dyDescent="0.3">
      <c r="A91" t="s">
        <v>54</v>
      </c>
      <c r="B91">
        <v>2015</v>
      </c>
      <c r="C91" t="s">
        <v>59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F91">
        <v>123</v>
      </c>
    </row>
    <row r="92" spans="1:32" hidden="1" x14ac:dyDescent="0.3">
      <c r="A92" t="s">
        <v>50</v>
      </c>
      <c r="B92">
        <v>2015</v>
      </c>
      <c r="C92" t="s">
        <v>60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f>AVERAGE(U90:U91)</f>
        <v>119</v>
      </c>
      <c r="V92">
        <v>123</v>
      </c>
      <c r="W92">
        <v>123</v>
      </c>
      <c r="X92">
        <v>120.8</v>
      </c>
      <c r="Y92">
        <v>114.1</v>
      </c>
      <c r="Z92">
        <v>118</v>
      </c>
      <c r="AA92">
        <v>122.9</v>
      </c>
      <c r="AB92">
        <v>112.7</v>
      </c>
      <c r="AC92">
        <v>118.1</v>
      </c>
      <c r="AF92">
        <v>124.7</v>
      </c>
    </row>
    <row r="93" spans="1:32" hidden="1" x14ac:dyDescent="0.3">
      <c r="A93" t="s">
        <v>53</v>
      </c>
      <c r="B93">
        <v>2015</v>
      </c>
      <c r="C93" t="s">
        <v>60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F93">
        <v>122.4</v>
      </c>
    </row>
    <row r="94" spans="1:32" hidden="1" x14ac:dyDescent="0.3">
      <c r="A94" t="s">
        <v>54</v>
      </c>
      <c r="B94">
        <v>2015</v>
      </c>
      <c r="C94" t="s">
        <v>60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F94">
        <v>123.6</v>
      </c>
    </row>
    <row r="95" spans="1:32" hidden="1" x14ac:dyDescent="0.3">
      <c r="A95" t="s">
        <v>50</v>
      </c>
      <c r="B95">
        <v>2015</v>
      </c>
      <c r="C95" t="s">
        <v>61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f>AVERAGE(U93:U94)</f>
        <v>119.9</v>
      </c>
      <c r="V95">
        <v>123.8</v>
      </c>
      <c r="W95">
        <v>123.7</v>
      </c>
      <c r="X95">
        <v>121.1</v>
      </c>
      <c r="Y95">
        <v>113.6</v>
      </c>
      <c r="Z95">
        <v>118.5</v>
      </c>
      <c r="AA95">
        <v>123.6</v>
      </c>
      <c r="AB95">
        <v>112.5</v>
      </c>
      <c r="AC95">
        <v>118.2</v>
      </c>
      <c r="AF95">
        <v>126.1</v>
      </c>
    </row>
    <row r="96" spans="1:32" hidden="1" x14ac:dyDescent="0.3">
      <c r="A96" t="s">
        <v>53</v>
      </c>
      <c r="B96">
        <v>2015</v>
      </c>
      <c r="C96" t="s">
        <v>61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F96">
        <v>123.2</v>
      </c>
    </row>
    <row r="97" spans="1:32" hidden="1" x14ac:dyDescent="0.3">
      <c r="A97" t="s">
        <v>54</v>
      </c>
      <c r="B97">
        <v>2015</v>
      </c>
      <c r="C97" t="s">
        <v>61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F97">
        <v>124.8</v>
      </c>
    </row>
    <row r="98" spans="1:32" hidden="1" x14ac:dyDescent="0.3">
      <c r="A98" t="s">
        <v>50</v>
      </c>
      <c r="B98">
        <v>2015</v>
      </c>
      <c r="C98" t="s">
        <v>62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f>AVERAGE(U96:U97)</f>
        <v>120.9</v>
      </c>
      <c r="V98">
        <v>123.7</v>
      </c>
      <c r="W98">
        <v>124.5</v>
      </c>
      <c r="X98">
        <v>121.4</v>
      </c>
      <c r="Y98">
        <v>113.8</v>
      </c>
      <c r="Z98">
        <v>119.6</v>
      </c>
      <c r="AA98">
        <v>124.5</v>
      </c>
      <c r="AB98">
        <v>113.7</v>
      </c>
      <c r="AC98">
        <v>118.8</v>
      </c>
      <c r="AF98">
        <v>127</v>
      </c>
    </row>
    <row r="99" spans="1:32" hidden="1" x14ac:dyDescent="0.3">
      <c r="A99" t="s">
        <v>53</v>
      </c>
      <c r="B99">
        <v>2015</v>
      </c>
      <c r="C99" t="s">
        <v>62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F99">
        <v>123.5</v>
      </c>
    </row>
    <row r="100" spans="1:32" hidden="1" x14ac:dyDescent="0.3">
      <c r="A100" t="s">
        <v>54</v>
      </c>
      <c r="B100">
        <v>2015</v>
      </c>
      <c r="C100" t="s">
        <v>62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F100">
        <v>125.4</v>
      </c>
    </row>
    <row r="101" spans="1:32" hidden="1" x14ac:dyDescent="0.3">
      <c r="A101" t="s">
        <v>50</v>
      </c>
      <c r="B101">
        <v>2015</v>
      </c>
      <c r="C101" t="s">
        <v>63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f>AVERAGE(U99:U100)</f>
        <v>121.6</v>
      </c>
      <c r="V101">
        <v>124.4</v>
      </c>
      <c r="W101">
        <v>125.1</v>
      </c>
      <c r="X101">
        <v>122</v>
      </c>
      <c r="Y101">
        <v>113.8</v>
      </c>
      <c r="Z101">
        <v>120.1</v>
      </c>
      <c r="AA101">
        <v>125.1</v>
      </c>
      <c r="AB101">
        <v>114.2</v>
      </c>
      <c r="AC101">
        <v>119.2</v>
      </c>
      <c r="AF101">
        <v>127.7</v>
      </c>
    </row>
    <row r="102" spans="1:32" hidden="1" x14ac:dyDescent="0.3">
      <c r="A102" t="s">
        <v>53</v>
      </c>
      <c r="B102">
        <v>2015</v>
      </c>
      <c r="C102" t="s">
        <v>63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F102">
        <v>124.2</v>
      </c>
    </row>
    <row r="103" spans="1:32" hidden="1" x14ac:dyDescent="0.3">
      <c r="A103" t="s">
        <v>54</v>
      </c>
      <c r="B103">
        <v>2015</v>
      </c>
      <c r="C103" t="s">
        <v>63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F103">
        <v>126.1</v>
      </c>
    </row>
    <row r="104" spans="1:32" hidden="1" x14ac:dyDescent="0.3">
      <c r="A104" t="s">
        <v>50</v>
      </c>
      <c r="B104">
        <v>2015</v>
      </c>
      <c r="C104" t="s">
        <v>65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f>AVERAGE(U102:U103)</f>
        <v>122.4</v>
      </c>
      <c r="V104">
        <v>125.6</v>
      </c>
      <c r="W104">
        <v>125.6</v>
      </c>
      <c r="X104">
        <v>122.6</v>
      </c>
      <c r="Y104">
        <v>114</v>
      </c>
      <c r="Z104">
        <v>120.9</v>
      </c>
      <c r="AA104">
        <v>125.8</v>
      </c>
      <c r="AB104">
        <v>114.2</v>
      </c>
      <c r="AC104">
        <v>119.6</v>
      </c>
      <c r="AF104">
        <v>128.30000000000001</v>
      </c>
    </row>
    <row r="105" spans="1:32" hidden="1" x14ac:dyDescent="0.3">
      <c r="A105" t="s">
        <v>53</v>
      </c>
      <c r="B105">
        <v>2015</v>
      </c>
      <c r="C105" t="s">
        <v>65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F105">
        <v>124.6</v>
      </c>
    </row>
    <row r="106" spans="1:32" hidden="1" x14ac:dyDescent="0.3">
      <c r="A106" t="s">
        <v>54</v>
      </c>
      <c r="B106">
        <v>2015</v>
      </c>
      <c r="C106" t="s">
        <v>65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F106">
        <v>126.6</v>
      </c>
    </row>
    <row r="107" spans="1:32" hidden="1" x14ac:dyDescent="0.3">
      <c r="A107" t="s">
        <v>50</v>
      </c>
      <c r="B107">
        <v>2015</v>
      </c>
      <c r="C107" t="s">
        <v>66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f>AVERAGE(U105:U106)</f>
        <v>122.9</v>
      </c>
      <c r="V107">
        <v>125.7</v>
      </c>
      <c r="W107">
        <v>126</v>
      </c>
      <c r="X107">
        <v>123.1</v>
      </c>
      <c r="Y107">
        <v>114</v>
      </c>
      <c r="Z107">
        <v>121.6</v>
      </c>
      <c r="AA107">
        <v>125.6</v>
      </c>
      <c r="AB107">
        <v>114.1</v>
      </c>
      <c r="AC107">
        <v>119.8</v>
      </c>
      <c r="AF107">
        <v>127.9</v>
      </c>
    </row>
    <row r="108" spans="1:32" hidden="1" x14ac:dyDescent="0.3">
      <c r="A108" t="s">
        <v>53</v>
      </c>
      <c r="B108">
        <v>2015</v>
      </c>
      <c r="C108" t="s">
        <v>66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F108">
        <v>124</v>
      </c>
    </row>
    <row r="109" spans="1:32" hidden="1" x14ac:dyDescent="0.3">
      <c r="A109" t="s">
        <v>54</v>
      </c>
      <c r="B109">
        <v>2015</v>
      </c>
      <c r="C109" t="s">
        <v>66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F109">
        <v>126.1</v>
      </c>
    </row>
    <row r="110" spans="1:32" hidden="1" x14ac:dyDescent="0.3">
      <c r="A110" t="s">
        <v>50</v>
      </c>
      <c r="B110">
        <v>2016</v>
      </c>
      <c r="C110" t="s">
        <v>51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f>AVERAGE(U108:U109)</f>
        <v>122.4</v>
      </c>
      <c r="V110">
        <v>126.2</v>
      </c>
      <c r="W110">
        <v>126.6</v>
      </c>
      <c r="X110">
        <v>123.7</v>
      </c>
      <c r="Y110">
        <v>113.6</v>
      </c>
      <c r="Z110">
        <v>121.4</v>
      </c>
      <c r="AA110">
        <v>126.2</v>
      </c>
      <c r="AB110">
        <v>114.9</v>
      </c>
      <c r="AC110">
        <v>120.1</v>
      </c>
      <c r="AF110">
        <v>128.1</v>
      </c>
    </row>
    <row r="111" spans="1:32" hidden="1" x14ac:dyDescent="0.3">
      <c r="A111" t="s">
        <v>53</v>
      </c>
      <c r="B111">
        <v>2016</v>
      </c>
      <c r="C111" t="s">
        <v>51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F111">
        <v>124.2</v>
      </c>
    </row>
    <row r="112" spans="1:32" hidden="1" x14ac:dyDescent="0.3">
      <c r="A112" t="s">
        <v>54</v>
      </c>
      <c r="B112">
        <v>2016</v>
      </c>
      <c r="C112" t="s">
        <v>51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t="str">
        <f>B112 &amp; "-" &amp; C112</f>
        <v>2016-January</v>
      </c>
      <c r="AF112">
        <v>126.3</v>
      </c>
    </row>
    <row r="113" spans="1:32" hidden="1" x14ac:dyDescent="0.3">
      <c r="A113" t="s">
        <v>50</v>
      </c>
      <c r="B113">
        <v>2016</v>
      </c>
      <c r="C113" t="s">
        <v>55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f>AVERAGE(U111:U112)</f>
        <v>123.4</v>
      </c>
      <c r="V113">
        <v>127.5</v>
      </c>
      <c r="W113">
        <v>127.1</v>
      </c>
      <c r="X113">
        <v>124.3</v>
      </c>
      <c r="Y113">
        <v>113.9</v>
      </c>
      <c r="Z113">
        <v>122.3</v>
      </c>
      <c r="AA113">
        <v>127.1</v>
      </c>
      <c r="AB113">
        <v>116.8</v>
      </c>
      <c r="AC113">
        <v>120.9</v>
      </c>
      <c r="AF113">
        <v>127.9</v>
      </c>
    </row>
    <row r="114" spans="1:32" hidden="1" x14ac:dyDescent="0.3">
      <c r="A114" t="s">
        <v>53</v>
      </c>
      <c r="B114">
        <v>2016</v>
      </c>
      <c r="C114" t="s">
        <v>55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F114">
        <v>123.8</v>
      </c>
    </row>
    <row r="115" spans="1:32" hidden="1" x14ac:dyDescent="0.3">
      <c r="A115" t="s">
        <v>54</v>
      </c>
      <c r="B115">
        <v>2016</v>
      </c>
      <c r="C115" t="s">
        <v>55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t="str">
        <f>B115 &amp; "-" &amp; C115</f>
        <v>2016-February</v>
      </c>
      <c r="AF115">
        <v>126</v>
      </c>
    </row>
    <row r="116" spans="1:32" hidden="1" x14ac:dyDescent="0.3">
      <c r="A116" t="s">
        <v>50</v>
      </c>
      <c r="B116">
        <v>2016</v>
      </c>
      <c r="C116" t="s">
        <v>56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f>AVERAGE(U114:U115)</f>
        <v>124.4</v>
      </c>
      <c r="V116">
        <v>127</v>
      </c>
      <c r="W116">
        <v>127.7</v>
      </c>
      <c r="X116">
        <v>124.8</v>
      </c>
      <c r="Y116">
        <v>113.6</v>
      </c>
      <c r="Z116">
        <v>122.5</v>
      </c>
      <c r="AA116">
        <v>127.5</v>
      </c>
      <c r="AB116">
        <v>117.4</v>
      </c>
      <c r="AC116">
        <v>121.1</v>
      </c>
      <c r="AF116">
        <v>128</v>
      </c>
    </row>
    <row r="117" spans="1:32" hidden="1" x14ac:dyDescent="0.3">
      <c r="A117" t="s">
        <v>53</v>
      </c>
      <c r="B117">
        <v>2016</v>
      </c>
      <c r="C117" t="s">
        <v>56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F117">
        <v>123.8</v>
      </c>
    </row>
    <row r="118" spans="1:32" hidden="1" x14ac:dyDescent="0.3">
      <c r="A118" t="s">
        <v>54</v>
      </c>
      <c r="B118">
        <v>2016</v>
      </c>
      <c r="C118" t="s">
        <v>56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t="str">
        <f>B118 &amp; "-" &amp; C118</f>
        <v>2016-March</v>
      </c>
      <c r="AF118">
        <v>126</v>
      </c>
    </row>
    <row r="119" spans="1:32" hidden="1" x14ac:dyDescent="0.3">
      <c r="A119" t="s">
        <v>50</v>
      </c>
      <c r="B119">
        <v>2016</v>
      </c>
      <c r="C119" t="s">
        <v>57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f>AVERAGE(U117:U118)</f>
        <v>124.9</v>
      </c>
      <c r="V119">
        <v>127</v>
      </c>
      <c r="W119">
        <v>128</v>
      </c>
      <c r="X119">
        <v>125.2</v>
      </c>
      <c r="Y119">
        <v>114.4</v>
      </c>
      <c r="Z119">
        <v>123.2</v>
      </c>
      <c r="AA119">
        <v>127.9</v>
      </c>
      <c r="AB119">
        <v>118.4</v>
      </c>
      <c r="AC119">
        <v>121.7</v>
      </c>
      <c r="AF119">
        <v>129</v>
      </c>
    </row>
    <row r="120" spans="1:32" hidden="1" x14ac:dyDescent="0.3">
      <c r="A120" t="s">
        <v>53</v>
      </c>
      <c r="B120">
        <v>2016</v>
      </c>
      <c r="C120" t="s">
        <v>57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F120">
        <v>125.3</v>
      </c>
    </row>
    <row r="121" spans="1:32" hidden="1" x14ac:dyDescent="0.3">
      <c r="A121" t="s">
        <v>54</v>
      </c>
      <c r="B121">
        <v>2016</v>
      </c>
      <c r="C121" t="s">
        <v>57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t="str">
        <f>B121 &amp; "-" &amp; C121</f>
        <v>2016-April</v>
      </c>
      <c r="AF121">
        <v>127.3</v>
      </c>
    </row>
    <row r="122" spans="1:32" hidden="1" x14ac:dyDescent="0.3">
      <c r="A122" t="s">
        <v>50</v>
      </c>
      <c r="B122">
        <v>2016</v>
      </c>
      <c r="C122" t="s">
        <v>58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f>AVERAGE(U120:U121)</f>
        <v>125.6</v>
      </c>
      <c r="V122">
        <v>127.4</v>
      </c>
      <c r="W122">
        <v>128.5</v>
      </c>
      <c r="X122">
        <v>125.8</v>
      </c>
      <c r="Y122">
        <v>115.1</v>
      </c>
      <c r="Z122">
        <v>123.6</v>
      </c>
      <c r="AA122">
        <v>129.1</v>
      </c>
      <c r="AB122">
        <v>119.7</v>
      </c>
      <c r="AC122">
        <v>122.5</v>
      </c>
      <c r="AF122">
        <v>130.30000000000001</v>
      </c>
    </row>
    <row r="123" spans="1:32" hidden="1" x14ac:dyDescent="0.3">
      <c r="A123" t="s">
        <v>53</v>
      </c>
      <c r="B123">
        <v>2016</v>
      </c>
      <c r="C123" t="s">
        <v>58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F123">
        <v>126.6</v>
      </c>
    </row>
    <row r="124" spans="1:32" hidden="1" x14ac:dyDescent="0.3">
      <c r="A124" t="s">
        <v>54</v>
      </c>
      <c r="B124">
        <v>2016</v>
      </c>
      <c r="C124" t="s">
        <v>58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t="str">
        <f>B124 &amp; "-" &amp; C124</f>
        <v>2016-May</v>
      </c>
      <c r="AF124">
        <v>128.6</v>
      </c>
    </row>
    <row r="125" spans="1:32" hidden="1" x14ac:dyDescent="0.3">
      <c r="A125" t="s">
        <v>50</v>
      </c>
      <c r="B125">
        <v>2016</v>
      </c>
      <c r="C125" t="s">
        <v>59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f>AVERAGE(U123:U124)</f>
        <v>126</v>
      </c>
      <c r="V125">
        <v>128</v>
      </c>
      <c r="W125">
        <v>129.30000000000001</v>
      </c>
      <c r="X125">
        <v>126.2</v>
      </c>
      <c r="Y125">
        <v>116.3</v>
      </c>
      <c r="Z125">
        <v>124.1</v>
      </c>
      <c r="AA125">
        <v>130.19999999999999</v>
      </c>
      <c r="AB125">
        <v>119.9</v>
      </c>
      <c r="AC125">
        <v>123.3</v>
      </c>
      <c r="AF125">
        <v>131.9</v>
      </c>
    </row>
    <row r="126" spans="1:32" hidden="1" x14ac:dyDescent="0.3">
      <c r="A126" t="s">
        <v>53</v>
      </c>
      <c r="B126">
        <v>2016</v>
      </c>
      <c r="C126" t="s">
        <v>59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F126">
        <v>128.1</v>
      </c>
    </row>
    <row r="127" spans="1:32" hidden="1" x14ac:dyDescent="0.3">
      <c r="A127" t="s">
        <v>54</v>
      </c>
      <c r="B127">
        <v>2016</v>
      </c>
      <c r="C127" t="s">
        <v>59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t="str">
        <f>B127 &amp; "-" &amp; C127</f>
        <v>2016-June</v>
      </c>
      <c r="AF127">
        <v>130.1</v>
      </c>
    </row>
    <row r="128" spans="1:32" hidden="1" x14ac:dyDescent="0.3">
      <c r="A128" t="s">
        <v>50</v>
      </c>
      <c r="B128">
        <v>2016</v>
      </c>
      <c r="C128" t="s">
        <v>60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f>AVERAGE(U126:U127)</f>
        <v>125.5</v>
      </c>
      <c r="V128">
        <v>128.19999999999999</v>
      </c>
      <c r="W128">
        <v>130</v>
      </c>
      <c r="X128">
        <v>126.7</v>
      </c>
      <c r="Y128">
        <v>116.4</v>
      </c>
      <c r="Z128">
        <v>125.2</v>
      </c>
      <c r="AA128">
        <v>130.80000000000001</v>
      </c>
      <c r="AB128">
        <v>120.9</v>
      </c>
      <c r="AC128">
        <v>123.8</v>
      </c>
      <c r="AF128">
        <v>133</v>
      </c>
    </row>
    <row r="129" spans="1:32" hidden="1" x14ac:dyDescent="0.3">
      <c r="A129" t="s">
        <v>53</v>
      </c>
      <c r="B129">
        <v>2016</v>
      </c>
      <c r="C129" t="s">
        <v>60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F129">
        <v>129</v>
      </c>
    </row>
    <row r="130" spans="1:32" hidden="1" x14ac:dyDescent="0.3">
      <c r="A130" t="s">
        <v>54</v>
      </c>
      <c r="B130">
        <v>2016</v>
      </c>
      <c r="C130" t="s">
        <v>60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t="str">
        <f>B130 &amp; "-" &amp; C130</f>
        <v>2016-July</v>
      </c>
      <c r="AF130">
        <v>131.1</v>
      </c>
    </row>
    <row r="131" spans="1:32" hidden="1" x14ac:dyDescent="0.3">
      <c r="A131" t="s">
        <v>50</v>
      </c>
      <c r="B131">
        <v>2016</v>
      </c>
      <c r="C131" t="s">
        <v>61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f>AVERAGE(U129:U130)</f>
        <v>126.4</v>
      </c>
      <c r="V131">
        <v>129.1</v>
      </c>
      <c r="W131">
        <v>130.6</v>
      </c>
      <c r="X131">
        <v>127</v>
      </c>
      <c r="Y131">
        <v>116</v>
      </c>
      <c r="Z131">
        <v>125.5</v>
      </c>
      <c r="AA131">
        <v>131.9</v>
      </c>
      <c r="AB131">
        <v>122</v>
      </c>
      <c r="AC131">
        <v>124.2</v>
      </c>
      <c r="AF131">
        <v>133.5</v>
      </c>
    </row>
    <row r="132" spans="1:32" hidden="1" x14ac:dyDescent="0.3">
      <c r="A132" t="s">
        <v>53</v>
      </c>
      <c r="B132">
        <v>2016</v>
      </c>
      <c r="C132" t="s">
        <v>61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F132">
        <v>128.4</v>
      </c>
    </row>
    <row r="133" spans="1:32" hidden="1" x14ac:dyDescent="0.3">
      <c r="A133" t="s">
        <v>54</v>
      </c>
      <c r="B133">
        <v>2016</v>
      </c>
      <c r="C133" t="s">
        <v>61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t="str">
        <f>B133 &amp; "-" &amp; C133</f>
        <v>2016-August</v>
      </c>
      <c r="AF133">
        <v>131.1</v>
      </c>
    </row>
    <row r="134" spans="1:32" hidden="1" x14ac:dyDescent="0.3">
      <c r="A134" t="s">
        <v>50</v>
      </c>
      <c r="B134">
        <v>2016</v>
      </c>
      <c r="C134" t="s">
        <v>62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f>AVERAGE(U132:U133)</f>
        <v>127.3</v>
      </c>
      <c r="V134">
        <v>129.69999999999999</v>
      </c>
      <c r="W134">
        <v>131.1</v>
      </c>
      <c r="X134">
        <v>127.8</v>
      </c>
      <c r="Y134">
        <v>117</v>
      </c>
      <c r="Z134">
        <v>125.7</v>
      </c>
      <c r="AA134">
        <v>132.19999999999999</v>
      </c>
      <c r="AB134">
        <v>122.8</v>
      </c>
      <c r="AC134">
        <v>124.9</v>
      </c>
      <c r="AF134">
        <v>133.4</v>
      </c>
    </row>
    <row r="135" spans="1:32" hidden="1" x14ac:dyDescent="0.3">
      <c r="A135" t="s">
        <v>53</v>
      </c>
      <c r="B135">
        <v>2016</v>
      </c>
      <c r="C135" t="s">
        <v>62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F135">
        <v>128</v>
      </c>
    </row>
    <row r="136" spans="1:32" hidden="1" x14ac:dyDescent="0.3">
      <c r="A136" t="s">
        <v>54</v>
      </c>
      <c r="B136">
        <v>2016</v>
      </c>
      <c r="C136" t="s">
        <v>62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t="str">
        <f>B136 &amp; "-" &amp; C136</f>
        <v>2016-September</v>
      </c>
      <c r="AF136">
        <v>130.9</v>
      </c>
    </row>
    <row r="137" spans="1:32" hidden="1" x14ac:dyDescent="0.3">
      <c r="A137" t="s">
        <v>50</v>
      </c>
      <c r="B137">
        <v>2016</v>
      </c>
      <c r="C137" t="s">
        <v>63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f>AVERAGE(U135:U136)</f>
        <v>127.9</v>
      </c>
      <c r="V137">
        <v>129.80000000000001</v>
      </c>
      <c r="W137">
        <v>131.80000000000001</v>
      </c>
      <c r="X137">
        <v>128.69999999999999</v>
      </c>
      <c r="Y137">
        <v>117.8</v>
      </c>
      <c r="Z137">
        <v>126.5</v>
      </c>
      <c r="AA137">
        <v>133</v>
      </c>
      <c r="AB137">
        <v>123</v>
      </c>
      <c r="AC137">
        <v>125.7</v>
      </c>
      <c r="AF137">
        <v>133.80000000000001</v>
      </c>
    </row>
    <row r="138" spans="1:32" hidden="1" x14ac:dyDescent="0.3">
      <c r="A138" t="s">
        <v>53</v>
      </c>
      <c r="B138">
        <v>2016</v>
      </c>
      <c r="C138" t="s">
        <v>63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F138">
        <v>128.6</v>
      </c>
    </row>
    <row r="139" spans="1:32" hidden="1" x14ac:dyDescent="0.3">
      <c r="A139" t="s">
        <v>54</v>
      </c>
      <c r="B139">
        <v>2016</v>
      </c>
      <c r="C139" t="s">
        <v>63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t="str">
        <f>B139 &amp; "-" &amp; C139</f>
        <v>2016-October</v>
      </c>
      <c r="AF139">
        <v>131.4</v>
      </c>
    </row>
    <row r="140" spans="1:32" hidden="1" x14ac:dyDescent="0.3">
      <c r="A140" t="s">
        <v>50</v>
      </c>
      <c r="B140">
        <v>2016</v>
      </c>
      <c r="C140" t="s">
        <v>65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f>AVERAGE(U138:U139)</f>
        <v>128.69999999999999</v>
      </c>
      <c r="V140">
        <v>130.30000000000001</v>
      </c>
      <c r="W140">
        <v>132.1</v>
      </c>
      <c r="X140">
        <v>129.1</v>
      </c>
      <c r="Y140">
        <v>118.2</v>
      </c>
      <c r="Z140">
        <v>126.9</v>
      </c>
      <c r="AA140">
        <v>133.69999999999999</v>
      </c>
      <c r="AB140">
        <v>123.5</v>
      </c>
      <c r="AC140">
        <v>126.1</v>
      </c>
      <c r="AF140">
        <v>133.6</v>
      </c>
    </row>
    <row r="141" spans="1:32" hidden="1" x14ac:dyDescent="0.3">
      <c r="A141" t="s">
        <v>53</v>
      </c>
      <c r="B141">
        <v>2016</v>
      </c>
      <c r="C141" t="s">
        <v>65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F141">
        <v>128.5</v>
      </c>
    </row>
    <row r="142" spans="1:32" hidden="1" x14ac:dyDescent="0.3">
      <c r="A142" t="s">
        <v>54</v>
      </c>
      <c r="B142">
        <v>2016</v>
      </c>
      <c r="C142" t="s">
        <v>65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t="str">
        <f>B142 &amp; "-" &amp; C142</f>
        <v>2016-November</v>
      </c>
      <c r="AF142">
        <v>131.19999999999999</v>
      </c>
    </row>
    <row r="143" spans="1:32" hidden="1" x14ac:dyDescent="0.3">
      <c r="A143" t="s">
        <v>50</v>
      </c>
      <c r="B143">
        <v>2016</v>
      </c>
      <c r="C143" t="s">
        <v>66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f>AVERAGE(U141:U142)</f>
        <v>129.1</v>
      </c>
      <c r="V143">
        <v>132</v>
      </c>
      <c r="W143">
        <v>132.9</v>
      </c>
      <c r="X143">
        <v>129.69999999999999</v>
      </c>
      <c r="Y143">
        <v>118.6</v>
      </c>
      <c r="Z143">
        <v>127.3</v>
      </c>
      <c r="AA143">
        <v>134.19999999999999</v>
      </c>
      <c r="AB143">
        <v>121.9</v>
      </c>
      <c r="AC143">
        <v>126.3</v>
      </c>
      <c r="AF143">
        <v>132.80000000000001</v>
      </c>
    </row>
    <row r="144" spans="1:32" hidden="1" x14ac:dyDescent="0.3">
      <c r="A144" t="s">
        <v>53</v>
      </c>
      <c r="B144">
        <v>2016</v>
      </c>
      <c r="C144" t="s">
        <v>66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F144">
        <v>127.6</v>
      </c>
    </row>
    <row r="145" spans="1:32" hidden="1" x14ac:dyDescent="0.3">
      <c r="A145" t="s">
        <v>54</v>
      </c>
      <c r="B145">
        <v>2016</v>
      </c>
      <c r="C145" t="s">
        <v>66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t="str">
        <f>B145 &amp; "-" &amp; C145</f>
        <v>2016-December</v>
      </c>
      <c r="AF145">
        <v>130.4</v>
      </c>
    </row>
    <row r="146" spans="1:32" hidden="1" x14ac:dyDescent="0.3">
      <c r="A146" t="s">
        <v>50</v>
      </c>
      <c r="B146">
        <v>2017</v>
      </c>
      <c r="C146" t="s">
        <v>51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f>AVERAGE(U144:U145)</f>
        <v>128.5</v>
      </c>
      <c r="V146">
        <v>132.1</v>
      </c>
      <c r="W146">
        <v>133.19999999999999</v>
      </c>
      <c r="X146">
        <v>129.9</v>
      </c>
      <c r="Y146">
        <v>119.1</v>
      </c>
      <c r="Z146">
        <v>127</v>
      </c>
      <c r="AA146">
        <v>134.6</v>
      </c>
      <c r="AB146">
        <v>122.3</v>
      </c>
      <c r="AC146">
        <v>126.6</v>
      </c>
      <c r="AF146">
        <v>132.4</v>
      </c>
    </row>
    <row r="147" spans="1:32" hidden="1" x14ac:dyDescent="0.3">
      <c r="A147" t="s">
        <v>53</v>
      </c>
      <c r="B147">
        <v>2017</v>
      </c>
      <c r="C147" t="s">
        <v>51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F147">
        <v>127.8</v>
      </c>
    </row>
    <row r="148" spans="1:32" x14ac:dyDescent="0.3">
      <c r="A148" t="s">
        <v>54</v>
      </c>
      <c r="B148">
        <v>2017</v>
      </c>
      <c r="C148" t="s">
        <v>51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t="str">
        <f>C148 &amp; " "  &amp; B148</f>
        <v>January 2017</v>
      </c>
      <c r="AE148" s="3">
        <f>(AF148-AF112)/AF112</f>
        <v>3.1670625494853638E-2</v>
      </c>
      <c r="AF148">
        <v>130.30000000000001</v>
      </c>
    </row>
    <row r="149" spans="1:32" hidden="1" x14ac:dyDescent="0.3">
      <c r="A149" t="s">
        <v>50</v>
      </c>
      <c r="B149">
        <v>2017</v>
      </c>
      <c r="C149" t="s">
        <v>55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f>AVERAGE(U147:U148)</f>
        <v>129.6</v>
      </c>
      <c r="V149">
        <v>133.19999999999999</v>
      </c>
      <c r="W149">
        <v>133.6</v>
      </c>
      <c r="X149">
        <v>130.1</v>
      </c>
      <c r="Y149">
        <v>119.5</v>
      </c>
      <c r="Z149">
        <v>127.7</v>
      </c>
      <c r="AA149">
        <v>134.9</v>
      </c>
      <c r="AB149">
        <v>123.2</v>
      </c>
      <c r="AC149">
        <v>127</v>
      </c>
      <c r="AF149">
        <v>132.6</v>
      </c>
    </row>
    <row r="150" spans="1:32" hidden="1" x14ac:dyDescent="0.3">
      <c r="A150" t="s">
        <v>53</v>
      </c>
      <c r="B150">
        <v>2017</v>
      </c>
      <c r="C150" t="s">
        <v>55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F150">
        <v>128.19999999999999</v>
      </c>
    </row>
    <row r="151" spans="1:32" x14ac:dyDescent="0.3">
      <c r="A151" t="s">
        <v>54</v>
      </c>
      <c r="B151">
        <v>2017</v>
      </c>
      <c r="C151" t="s">
        <v>55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t="str">
        <f>C151 &amp; " "  &amp; B151</f>
        <v>February 2017</v>
      </c>
      <c r="AE151" s="3">
        <f>(AF151-AF115)/AF115</f>
        <v>3.6507936507936462E-2</v>
      </c>
      <c r="AF151">
        <v>130.6</v>
      </c>
    </row>
    <row r="152" spans="1:32" hidden="1" x14ac:dyDescent="0.3">
      <c r="A152" t="s">
        <v>50</v>
      </c>
      <c r="B152">
        <v>2017</v>
      </c>
      <c r="C152" t="s">
        <v>56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f>AVERAGE(U150:U151)</f>
        <v>130.5</v>
      </c>
      <c r="V152">
        <v>134.19999999999999</v>
      </c>
      <c r="W152">
        <v>134.1</v>
      </c>
      <c r="X152">
        <v>130.6</v>
      </c>
      <c r="Y152">
        <v>119.8</v>
      </c>
      <c r="Z152">
        <v>128.30000000000001</v>
      </c>
      <c r="AA152">
        <v>135.19999999999999</v>
      </c>
      <c r="AB152">
        <v>123.3</v>
      </c>
      <c r="AC152">
        <v>127.4</v>
      </c>
      <c r="AF152">
        <v>132.80000000000001</v>
      </c>
    </row>
    <row r="153" spans="1:32" hidden="1" x14ac:dyDescent="0.3">
      <c r="A153" t="s">
        <v>53</v>
      </c>
      <c r="B153">
        <v>2017</v>
      </c>
      <c r="C153" t="s">
        <v>56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F153">
        <v>128.69999999999999</v>
      </c>
    </row>
    <row r="154" spans="1:32" x14ac:dyDescent="0.3">
      <c r="A154" t="s">
        <v>54</v>
      </c>
      <c r="B154">
        <v>2017</v>
      </c>
      <c r="C154" t="s">
        <v>56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t="str">
        <f>C154 &amp; " "  &amp; B154</f>
        <v>March 2017</v>
      </c>
      <c r="AE154" s="3">
        <f>(AF154-AF118)/AF118</f>
        <v>3.8888888888888931E-2</v>
      </c>
      <c r="AF154">
        <v>130.9</v>
      </c>
    </row>
    <row r="155" spans="1:32" hidden="1" x14ac:dyDescent="0.3">
      <c r="A155" t="s">
        <v>50</v>
      </c>
      <c r="B155">
        <v>2017</v>
      </c>
      <c r="C155" t="s">
        <v>57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f>AVERAGE(U153:U154)</f>
        <v>131.1</v>
      </c>
      <c r="V155">
        <v>135</v>
      </c>
      <c r="W155">
        <v>134.30000000000001</v>
      </c>
      <c r="X155">
        <v>131</v>
      </c>
      <c r="Y155">
        <v>119.2</v>
      </c>
      <c r="Z155">
        <v>128.30000000000001</v>
      </c>
      <c r="AA155">
        <v>135.69999999999999</v>
      </c>
      <c r="AB155">
        <v>123.7</v>
      </c>
      <c r="AC155">
        <v>127.5</v>
      </c>
      <c r="AF155">
        <v>132.9</v>
      </c>
    </row>
    <row r="156" spans="1:32" hidden="1" x14ac:dyDescent="0.3">
      <c r="A156" t="s">
        <v>53</v>
      </c>
      <c r="B156">
        <v>2017</v>
      </c>
      <c r="C156" t="s">
        <v>57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F156">
        <v>129.1</v>
      </c>
    </row>
    <row r="157" spans="1:32" x14ac:dyDescent="0.3">
      <c r="A157" t="s">
        <v>54</v>
      </c>
      <c r="B157">
        <v>2017</v>
      </c>
      <c r="C157" t="s">
        <v>57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t="str">
        <f>C157 &amp; " "  &amp; B157</f>
        <v>April 2017</v>
      </c>
      <c r="AE157" s="3">
        <f>(AF157-AF121)/AF121</f>
        <v>2.9850746268656695E-2</v>
      </c>
      <c r="AF157">
        <v>131.1</v>
      </c>
    </row>
    <row r="158" spans="1:32" hidden="1" x14ac:dyDescent="0.3">
      <c r="A158" t="s">
        <v>50</v>
      </c>
      <c r="B158">
        <v>2017</v>
      </c>
      <c r="C158" t="s">
        <v>58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f>AVERAGE(U156:U157)</f>
        <v>131.69999999999999</v>
      </c>
      <c r="V158">
        <v>135</v>
      </c>
      <c r="W158">
        <v>134.9</v>
      </c>
      <c r="X158">
        <v>131.4</v>
      </c>
      <c r="Y158">
        <v>119.4</v>
      </c>
      <c r="Z158">
        <v>129.4</v>
      </c>
      <c r="AA158">
        <v>136.30000000000001</v>
      </c>
      <c r="AB158">
        <v>123.7</v>
      </c>
      <c r="AC158">
        <v>127.9</v>
      </c>
      <c r="AF158">
        <v>133.30000000000001</v>
      </c>
    </row>
    <row r="159" spans="1:32" hidden="1" x14ac:dyDescent="0.3">
      <c r="A159" t="s">
        <v>53</v>
      </c>
      <c r="B159">
        <v>2017</v>
      </c>
      <c r="C159" t="s">
        <v>58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F159">
        <v>129.30000000000001</v>
      </c>
    </row>
    <row r="160" spans="1:32" x14ac:dyDescent="0.3">
      <c r="A160" t="s">
        <v>54</v>
      </c>
      <c r="B160">
        <v>2017</v>
      </c>
      <c r="C160" t="s">
        <v>58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t="str">
        <f>C160 &amp; " "  &amp; B160</f>
        <v>May 2017</v>
      </c>
      <c r="AE160" s="3">
        <f>(AF160-AF124)/AF124</f>
        <v>2.1772939346811911E-2</v>
      </c>
      <c r="AF160">
        <v>131.4</v>
      </c>
    </row>
    <row r="161" spans="1:32" hidden="1" x14ac:dyDescent="0.3">
      <c r="A161" t="s">
        <v>50</v>
      </c>
      <c r="B161">
        <v>2017</v>
      </c>
      <c r="C161" t="s">
        <v>59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f>AVERAGE(U159:U160)</f>
        <v>132.1</v>
      </c>
      <c r="V161">
        <v>134.80000000000001</v>
      </c>
      <c r="W161">
        <v>135.19999999999999</v>
      </c>
      <c r="X161">
        <v>131.30000000000001</v>
      </c>
      <c r="Y161">
        <v>119.4</v>
      </c>
      <c r="Z161">
        <v>129.80000000000001</v>
      </c>
      <c r="AA161">
        <v>136.9</v>
      </c>
      <c r="AB161">
        <v>124.1</v>
      </c>
      <c r="AC161">
        <v>128.1</v>
      </c>
      <c r="AF161">
        <v>133.9</v>
      </c>
    </row>
    <row r="162" spans="1:32" hidden="1" x14ac:dyDescent="0.3">
      <c r="A162" t="s">
        <v>53</v>
      </c>
      <c r="B162">
        <v>2017</v>
      </c>
      <c r="C162" t="s">
        <v>59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F162">
        <v>129.9</v>
      </c>
    </row>
    <row r="163" spans="1:32" x14ac:dyDescent="0.3">
      <c r="A163" t="s">
        <v>54</v>
      </c>
      <c r="B163">
        <v>2017</v>
      </c>
      <c r="C163" t="s">
        <v>59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t="str">
        <f>C163 &amp; " "  &amp; B163</f>
        <v>June 2017</v>
      </c>
      <c r="AE163" s="3">
        <f>(AF163-AF127)/AF127</f>
        <v>1.4604150653343625E-2</v>
      </c>
      <c r="AF163">
        <v>132</v>
      </c>
    </row>
    <row r="164" spans="1:32" hidden="1" x14ac:dyDescent="0.3">
      <c r="A164" t="s">
        <v>50</v>
      </c>
      <c r="B164">
        <v>2017</v>
      </c>
      <c r="C164" t="s">
        <v>60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f>AVERAGE(U162:U163)</f>
        <v>131.4</v>
      </c>
      <c r="V164">
        <v>135.30000000000001</v>
      </c>
      <c r="W164">
        <v>136.1</v>
      </c>
      <c r="X164">
        <v>132.1</v>
      </c>
      <c r="Y164">
        <v>119.1</v>
      </c>
      <c r="Z164">
        <v>130.6</v>
      </c>
      <c r="AA164">
        <v>138.6</v>
      </c>
      <c r="AB164">
        <v>124.4</v>
      </c>
      <c r="AC164">
        <v>128.6</v>
      </c>
      <c r="AF164">
        <v>136.19999999999999</v>
      </c>
    </row>
    <row r="165" spans="1:32" hidden="1" x14ac:dyDescent="0.3">
      <c r="A165" t="s">
        <v>53</v>
      </c>
      <c r="B165">
        <v>2017</v>
      </c>
      <c r="C165" t="s">
        <v>60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F165">
        <v>131.80000000000001</v>
      </c>
    </row>
    <row r="166" spans="1:32" x14ac:dyDescent="0.3">
      <c r="A166" t="s">
        <v>54</v>
      </c>
      <c r="B166">
        <v>2017</v>
      </c>
      <c r="C166" t="s">
        <v>60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t="str">
        <f>C166 &amp; " "  &amp; B166</f>
        <v>July 2017</v>
      </c>
      <c r="AE166" s="3">
        <f>(AF166-AF130)/AF130</f>
        <v>2.3646071700991568E-2</v>
      </c>
      <c r="AF166">
        <v>134.19999999999999</v>
      </c>
    </row>
    <row r="167" spans="1:32" hidden="1" x14ac:dyDescent="0.3">
      <c r="A167" t="s">
        <v>50</v>
      </c>
      <c r="B167">
        <v>2017</v>
      </c>
      <c r="C167" t="s">
        <v>61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f>AVERAGE(U165:U166)</f>
        <v>132.6</v>
      </c>
      <c r="V167">
        <v>136.4</v>
      </c>
      <c r="W167">
        <v>137.30000000000001</v>
      </c>
      <c r="X167">
        <v>133</v>
      </c>
      <c r="Y167">
        <v>120.3</v>
      </c>
      <c r="Z167">
        <v>131.5</v>
      </c>
      <c r="AA167">
        <v>140.19999999999999</v>
      </c>
      <c r="AB167">
        <v>125.4</v>
      </c>
      <c r="AC167">
        <v>129.69999999999999</v>
      </c>
      <c r="AF167">
        <v>137.80000000000001</v>
      </c>
    </row>
    <row r="168" spans="1:32" hidden="1" x14ac:dyDescent="0.3">
      <c r="A168" t="s">
        <v>53</v>
      </c>
      <c r="B168">
        <v>2017</v>
      </c>
      <c r="C168" t="s">
        <v>61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F168">
        <v>132.69999999999999</v>
      </c>
    </row>
    <row r="169" spans="1:32" x14ac:dyDescent="0.3">
      <c r="A169" t="s">
        <v>54</v>
      </c>
      <c r="B169">
        <v>2017</v>
      </c>
      <c r="C169" t="s">
        <v>61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t="str">
        <f>C169 &amp; " "  &amp; B169</f>
        <v>August 2017</v>
      </c>
      <c r="AE169" s="3">
        <f>(AF169-AF133)/AF133</f>
        <v>3.2799389778794902E-2</v>
      </c>
      <c r="AF169">
        <v>135.4</v>
      </c>
    </row>
    <row r="170" spans="1:32" hidden="1" x14ac:dyDescent="0.3">
      <c r="A170" t="s">
        <v>50</v>
      </c>
      <c r="B170">
        <v>2017</v>
      </c>
      <c r="C170" t="s">
        <v>62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f>AVERAGE(U168:U169)</f>
        <v>134.4</v>
      </c>
      <c r="V170">
        <v>137.4</v>
      </c>
      <c r="W170">
        <v>137.9</v>
      </c>
      <c r="X170">
        <v>133.4</v>
      </c>
      <c r="Y170">
        <v>121.2</v>
      </c>
      <c r="Z170">
        <v>132.30000000000001</v>
      </c>
      <c r="AA170">
        <v>139.6</v>
      </c>
      <c r="AB170">
        <v>126.7</v>
      </c>
      <c r="AC170">
        <v>130.30000000000001</v>
      </c>
      <c r="AF170">
        <v>137.6</v>
      </c>
    </row>
    <row r="171" spans="1:32" hidden="1" x14ac:dyDescent="0.3">
      <c r="A171" t="s">
        <v>53</v>
      </c>
      <c r="B171">
        <v>2017</v>
      </c>
      <c r="C171" t="s">
        <v>62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F171">
        <v>132.4</v>
      </c>
    </row>
    <row r="172" spans="1:32" x14ac:dyDescent="0.3">
      <c r="A172" t="s">
        <v>54</v>
      </c>
      <c r="B172">
        <v>2017</v>
      </c>
      <c r="C172" t="s">
        <v>62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t="str">
        <f>C172 &amp; " "  &amp; B172</f>
        <v>September 2017</v>
      </c>
      <c r="AE172" s="3">
        <f>(AF172-AF136)/AF136</f>
        <v>3.2849503437738597E-2</v>
      </c>
      <c r="AF172">
        <v>135.19999999999999</v>
      </c>
    </row>
    <row r="173" spans="1:32" hidden="1" x14ac:dyDescent="0.3">
      <c r="A173" t="s">
        <v>50</v>
      </c>
      <c r="B173">
        <v>2017</v>
      </c>
      <c r="C173" t="s">
        <v>63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f>AVERAGE(U171:U172)</f>
        <v>135.69999999999999</v>
      </c>
      <c r="V173">
        <v>138.1</v>
      </c>
      <c r="W173">
        <v>138.4</v>
      </c>
      <c r="X173">
        <v>134.19999999999999</v>
      </c>
      <c r="Y173">
        <v>121</v>
      </c>
      <c r="Z173">
        <v>133</v>
      </c>
      <c r="AA173">
        <v>140.1</v>
      </c>
      <c r="AB173">
        <v>127.4</v>
      </c>
      <c r="AC173">
        <v>130.69999999999999</v>
      </c>
      <c r="AF173">
        <v>138.30000000000001</v>
      </c>
    </row>
    <row r="174" spans="1:32" hidden="1" x14ac:dyDescent="0.3">
      <c r="A174" t="s">
        <v>53</v>
      </c>
      <c r="B174">
        <v>2017</v>
      </c>
      <c r="C174" t="s">
        <v>63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F174">
        <v>133.5</v>
      </c>
    </row>
    <row r="175" spans="1:32" x14ac:dyDescent="0.3">
      <c r="A175" t="s">
        <v>54</v>
      </c>
      <c r="B175">
        <v>2017</v>
      </c>
      <c r="C175" t="s">
        <v>63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t="str">
        <f>C175 &amp; " "  &amp; B175</f>
        <v>October 2017</v>
      </c>
      <c r="AE175" s="3">
        <f>(AF175-AF139)/AF139</f>
        <v>3.5768645357686368E-2</v>
      </c>
      <c r="AF175">
        <v>136.1</v>
      </c>
    </row>
    <row r="176" spans="1:32" hidden="1" x14ac:dyDescent="0.3">
      <c r="A176" t="s">
        <v>50</v>
      </c>
      <c r="B176">
        <v>2017</v>
      </c>
      <c r="C176" t="s">
        <v>65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f>AVERAGE(U174:U175)</f>
        <v>137.30000000000001</v>
      </c>
      <c r="V176">
        <v>141.1</v>
      </c>
      <c r="W176">
        <v>139.4</v>
      </c>
      <c r="X176">
        <v>135.80000000000001</v>
      </c>
      <c r="Y176">
        <v>121.6</v>
      </c>
      <c r="Z176">
        <v>133.69999999999999</v>
      </c>
      <c r="AA176">
        <v>141.5</v>
      </c>
      <c r="AB176">
        <v>128.1</v>
      </c>
      <c r="AC176">
        <v>131.69999999999999</v>
      </c>
      <c r="AF176">
        <v>140</v>
      </c>
    </row>
    <row r="177" spans="1:32" hidden="1" x14ac:dyDescent="0.3">
      <c r="A177" t="s">
        <v>53</v>
      </c>
      <c r="B177">
        <v>2017</v>
      </c>
      <c r="C177" t="s">
        <v>65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F177">
        <v>134.80000000000001</v>
      </c>
    </row>
    <row r="178" spans="1:32" x14ac:dyDescent="0.3">
      <c r="A178" t="s">
        <v>54</v>
      </c>
      <c r="B178">
        <v>2017</v>
      </c>
      <c r="C178" t="s">
        <v>65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t="str">
        <f>C178 &amp; " "  &amp; B178</f>
        <v>November 2017</v>
      </c>
      <c r="AE178" s="3">
        <f>(AF178-AF142)/AF142</f>
        <v>4.8780487804878099E-2</v>
      </c>
      <c r="AF178">
        <v>137.6</v>
      </c>
    </row>
    <row r="179" spans="1:32" hidden="1" x14ac:dyDescent="0.3">
      <c r="A179" t="s">
        <v>50</v>
      </c>
      <c r="B179">
        <v>2017</v>
      </c>
      <c r="C179" t="s">
        <v>66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f>AVERAGE(U177:U178)</f>
        <v>138.6</v>
      </c>
      <c r="V179">
        <v>142.6</v>
      </c>
      <c r="W179">
        <v>139.5</v>
      </c>
      <c r="X179">
        <v>136.1</v>
      </c>
      <c r="Y179">
        <v>122</v>
      </c>
      <c r="Z179">
        <v>133.4</v>
      </c>
      <c r="AA179">
        <v>141.1</v>
      </c>
      <c r="AB179">
        <v>127.8</v>
      </c>
      <c r="AC179">
        <v>131.9</v>
      </c>
      <c r="AF179">
        <v>139.80000000000001</v>
      </c>
    </row>
    <row r="180" spans="1:32" hidden="1" x14ac:dyDescent="0.3">
      <c r="A180" t="s">
        <v>53</v>
      </c>
      <c r="B180">
        <v>2017</v>
      </c>
      <c r="C180" t="s">
        <v>66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F180">
        <v>134.1</v>
      </c>
    </row>
    <row r="181" spans="1:32" x14ac:dyDescent="0.3">
      <c r="A181" t="s">
        <v>54</v>
      </c>
      <c r="B181">
        <v>2017</v>
      </c>
      <c r="C181" t="s">
        <v>66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t="str">
        <f>C181 &amp; " "  &amp; B181</f>
        <v>December 2017</v>
      </c>
      <c r="AE181" s="3">
        <f>(AF181-AF145)/AF145</f>
        <v>5.2147239263803546E-2</v>
      </c>
      <c r="AF181">
        <v>137.19999999999999</v>
      </c>
    </row>
    <row r="182" spans="1:32" hidden="1" x14ac:dyDescent="0.3">
      <c r="A182" t="s">
        <v>50</v>
      </c>
      <c r="B182">
        <v>2018</v>
      </c>
      <c r="C182" t="s">
        <v>51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f>AVERAGE(U180:U181)</f>
        <v>139.1</v>
      </c>
      <c r="V182">
        <v>142.30000000000001</v>
      </c>
      <c r="W182">
        <v>139.80000000000001</v>
      </c>
      <c r="X182">
        <v>136</v>
      </c>
      <c r="Y182">
        <v>122.7</v>
      </c>
      <c r="Z182">
        <v>134.30000000000001</v>
      </c>
      <c r="AA182">
        <v>141.6</v>
      </c>
      <c r="AB182">
        <v>128.6</v>
      </c>
      <c r="AC182">
        <v>132.30000000000001</v>
      </c>
      <c r="AF182">
        <v>139.30000000000001</v>
      </c>
    </row>
    <row r="183" spans="1:32" hidden="1" x14ac:dyDescent="0.3">
      <c r="A183" t="s">
        <v>53</v>
      </c>
      <c r="B183">
        <v>2018</v>
      </c>
      <c r="C183" t="s">
        <v>51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F183">
        <v>134.1</v>
      </c>
    </row>
    <row r="184" spans="1:32" x14ac:dyDescent="0.3">
      <c r="A184" t="s">
        <v>54</v>
      </c>
      <c r="B184">
        <v>2018</v>
      </c>
      <c r="C184" t="s">
        <v>51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t="str">
        <f>C184 &amp; " "  &amp; B184</f>
        <v>January 2018</v>
      </c>
      <c r="AE184" s="3">
        <f>(AF184-AF148)/AF148</f>
        <v>5.0652340752110468E-2</v>
      </c>
      <c r="AF184">
        <v>136.9</v>
      </c>
    </row>
    <row r="185" spans="1:32" hidden="1" x14ac:dyDescent="0.3">
      <c r="A185" t="s">
        <v>50</v>
      </c>
      <c r="B185">
        <v>2018</v>
      </c>
      <c r="C185" t="s">
        <v>55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f>AVERAGE(U183:U184)</f>
        <v>140.4</v>
      </c>
      <c r="V185">
        <v>142.4</v>
      </c>
      <c r="W185">
        <v>139.9</v>
      </c>
      <c r="X185">
        <v>136.19999999999999</v>
      </c>
      <c r="Y185">
        <v>123.3</v>
      </c>
      <c r="Z185">
        <v>134.30000000000001</v>
      </c>
      <c r="AA185">
        <v>141.5</v>
      </c>
      <c r="AB185">
        <v>128.80000000000001</v>
      </c>
      <c r="AC185">
        <v>132.5</v>
      </c>
      <c r="AF185">
        <v>138.5</v>
      </c>
    </row>
    <row r="186" spans="1:32" hidden="1" x14ac:dyDescent="0.3">
      <c r="A186" t="s">
        <v>53</v>
      </c>
      <c r="B186">
        <v>2018</v>
      </c>
      <c r="C186" t="s">
        <v>55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F186">
        <v>134</v>
      </c>
    </row>
    <row r="187" spans="1:32" x14ac:dyDescent="0.3">
      <c r="A187" t="s">
        <v>54</v>
      </c>
      <c r="B187">
        <v>2018</v>
      </c>
      <c r="C187" t="s">
        <v>55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t="str">
        <f>C187 &amp; " "  &amp; B187</f>
        <v>February 2018</v>
      </c>
      <c r="AE187" s="3">
        <f>(AF187-AF151)/AF151</f>
        <v>4.441041347626349E-2</v>
      </c>
      <c r="AF187">
        <v>136.4</v>
      </c>
    </row>
    <row r="188" spans="1:32" hidden="1" x14ac:dyDescent="0.3">
      <c r="A188" t="s">
        <v>50</v>
      </c>
      <c r="B188">
        <v>2018</v>
      </c>
      <c r="C188" t="s">
        <v>56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f>AVERAGE(U186:U187)</f>
        <v>141.30000000000001</v>
      </c>
      <c r="V188">
        <v>142.6</v>
      </c>
      <c r="W188">
        <v>139.9</v>
      </c>
      <c r="X188">
        <v>136.69999999999999</v>
      </c>
      <c r="Y188">
        <v>124.6</v>
      </c>
      <c r="Z188">
        <v>135.1</v>
      </c>
      <c r="AA188">
        <v>142.69999999999999</v>
      </c>
      <c r="AB188">
        <v>129.30000000000001</v>
      </c>
      <c r="AC188">
        <v>133.30000000000001</v>
      </c>
      <c r="AF188">
        <v>138.69999999999999</v>
      </c>
    </row>
    <row r="189" spans="1:32" hidden="1" x14ac:dyDescent="0.3">
      <c r="A189" t="s">
        <v>53</v>
      </c>
      <c r="B189">
        <v>2018</v>
      </c>
      <c r="C189" t="s">
        <v>56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F189">
        <v>134</v>
      </c>
    </row>
    <row r="190" spans="1:32" x14ac:dyDescent="0.3">
      <c r="A190" t="s">
        <v>54</v>
      </c>
      <c r="B190">
        <v>2018</v>
      </c>
      <c r="C190" t="s">
        <v>56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t="str">
        <f>C190 &amp; " "  &amp; B190</f>
        <v>March 2018</v>
      </c>
      <c r="AE190" s="3">
        <f>(AF190-AF154)/AF154</f>
        <v>4.278074866310156E-2</v>
      </c>
      <c r="AF190">
        <v>136.5</v>
      </c>
    </row>
    <row r="191" spans="1:32" hidden="1" x14ac:dyDescent="0.3">
      <c r="A191" t="s">
        <v>50</v>
      </c>
      <c r="B191">
        <v>2018</v>
      </c>
      <c r="C191" t="s">
        <v>57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f>AVERAGE(U189:U190)</f>
        <v>142</v>
      </c>
      <c r="V191">
        <v>143.80000000000001</v>
      </c>
      <c r="W191">
        <v>140.9</v>
      </c>
      <c r="X191">
        <v>137.6</v>
      </c>
      <c r="Y191">
        <v>125.3</v>
      </c>
      <c r="Z191">
        <v>136</v>
      </c>
      <c r="AA191">
        <v>143.69999999999999</v>
      </c>
      <c r="AB191">
        <v>130.4</v>
      </c>
      <c r="AC191">
        <v>134.19999999999999</v>
      </c>
      <c r="AF191">
        <v>139.1</v>
      </c>
    </row>
    <row r="192" spans="1:32" hidden="1" x14ac:dyDescent="0.3">
      <c r="A192" t="s">
        <v>53</v>
      </c>
      <c r="B192">
        <v>2018</v>
      </c>
      <c r="C192" t="s">
        <v>57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F192">
        <v>134.80000000000001</v>
      </c>
    </row>
    <row r="193" spans="1:32" x14ac:dyDescent="0.3">
      <c r="A193" t="s">
        <v>54</v>
      </c>
      <c r="B193">
        <v>2018</v>
      </c>
      <c r="C193" t="s">
        <v>57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t="str">
        <f>C193 &amp; " "  &amp; B193</f>
        <v>April 2018</v>
      </c>
      <c r="AE193" s="3">
        <f>(AF193-AF157)/AF157</f>
        <v>4.5766590389016024E-2</v>
      </c>
      <c r="AF193">
        <v>137.1</v>
      </c>
    </row>
    <row r="194" spans="1:32" hidden="1" x14ac:dyDescent="0.3">
      <c r="A194" t="s">
        <v>50</v>
      </c>
      <c r="B194">
        <v>2018</v>
      </c>
      <c r="C194" t="s">
        <v>58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f>AVERAGE(U192:U193)</f>
        <v>142.9</v>
      </c>
      <c r="V194">
        <v>144.30000000000001</v>
      </c>
      <c r="W194">
        <v>141.80000000000001</v>
      </c>
      <c r="X194">
        <v>138.4</v>
      </c>
      <c r="Y194">
        <v>126.4</v>
      </c>
      <c r="Z194">
        <v>136.80000000000001</v>
      </c>
      <c r="AA194">
        <v>144.4</v>
      </c>
      <c r="AB194">
        <v>131.19999999999999</v>
      </c>
      <c r="AC194">
        <v>135.1</v>
      </c>
      <c r="AF194">
        <v>139.80000000000001</v>
      </c>
    </row>
    <row r="195" spans="1:32" hidden="1" x14ac:dyDescent="0.3">
      <c r="A195" t="s">
        <v>53</v>
      </c>
      <c r="B195">
        <v>2018</v>
      </c>
      <c r="C195" t="s">
        <v>58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F195">
        <v>135.4</v>
      </c>
    </row>
    <row r="196" spans="1:32" x14ac:dyDescent="0.3">
      <c r="A196" t="s">
        <v>54</v>
      </c>
      <c r="B196">
        <v>2018</v>
      </c>
      <c r="C196" t="s">
        <v>58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t="str">
        <f>C196 &amp; " "  &amp; B196</f>
        <v>May 2018</v>
      </c>
      <c r="AE196" s="3">
        <f>(AF196-AF160)/AF160</f>
        <v>4.8706240487062444E-2</v>
      </c>
      <c r="AF196">
        <v>137.80000000000001</v>
      </c>
    </row>
    <row r="197" spans="1:32" hidden="1" x14ac:dyDescent="0.3">
      <c r="A197" t="s">
        <v>50</v>
      </c>
      <c r="B197">
        <v>2018</v>
      </c>
      <c r="C197" t="s">
        <v>59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f>AVERAGE(U195:U196)</f>
        <v>143.19999999999999</v>
      </c>
      <c r="V197">
        <v>145.1</v>
      </c>
      <c r="W197">
        <v>142.19999999999999</v>
      </c>
      <c r="X197">
        <v>138.4</v>
      </c>
      <c r="Y197">
        <v>127.4</v>
      </c>
      <c r="Z197">
        <v>137.80000000000001</v>
      </c>
      <c r="AA197">
        <v>145.1</v>
      </c>
      <c r="AB197">
        <v>131.4</v>
      </c>
      <c r="AC197">
        <v>135.6</v>
      </c>
      <c r="AF197">
        <v>140.5</v>
      </c>
    </row>
    <row r="198" spans="1:32" hidden="1" x14ac:dyDescent="0.3">
      <c r="A198" t="s">
        <v>53</v>
      </c>
      <c r="B198">
        <v>2018</v>
      </c>
      <c r="C198" t="s">
        <v>59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F198">
        <v>136.19999999999999</v>
      </c>
    </row>
    <row r="199" spans="1:32" x14ac:dyDescent="0.3">
      <c r="A199" t="s">
        <v>54</v>
      </c>
      <c r="B199">
        <v>2018</v>
      </c>
      <c r="C199" t="s">
        <v>59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t="str">
        <f>C199 &amp; " "  &amp; B199</f>
        <v>June 2018</v>
      </c>
      <c r="AE199" s="3">
        <f>(AF199-AF163)/AF163</f>
        <v>4.924242424242424E-2</v>
      </c>
      <c r="AF199">
        <v>138.5</v>
      </c>
    </row>
    <row r="200" spans="1:32" hidden="1" x14ac:dyDescent="0.3">
      <c r="A200" t="s">
        <v>50</v>
      </c>
      <c r="B200">
        <v>2018</v>
      </c>
      <c r="C200" t="s">
        <v>60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f>AVERAGE(U198:U199)</f>
        <v>142.5</v>
      </c>
      <c r="V200">
        <v>146.80000000000001</v>
      </c>
      <c r="W200">
        <v>143.1</v>
      </c>
      <c r="X200">
        <v>139</v>
      </c>
      <c r="Y200">
        <v>127.5</v>
      </c>
      <c r="Z200">
        <v>138.4</v>
      </c>
      <c r="AA200">
        <v>145.80000000000001</v>
      </c>
      <c r="AB200">
        <v>131.4</v>
      </c>
      <c r="AC200">
        <v>136</v>
      </c>
      <c r="AF200">
        <v>141.80000000000001</v>
      </c>
    </row>
    <row r="201" spans="1:32" hidden="1" x14ac:dyDescent="0.3">
      <c r="A201" t="s">
        <v>53</v>
      </c>
      <c r="B201">
        <v>2018</v>
      </c>
      <c r="C201" t="s">
        <v>60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F201">
        <v>137.5</v>
      </c>
    </row>
    <row r="202" spans="1:32" x14ac:dyDescent="0.3">
      <c r="A202" t="s">
        <v>54</v>
      </c>
      <c r="B202">
        <v>2018</v>
      </c>
      <c r="C202" t="s">
        <v>60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t="str">
        <f>C202 &amp; " "  &amp; B202</f>
        <v>July 2018</v>
      </c>
      <c r="AE202" s="3">
        <f>(AF202-AF166)/AF166</f>
        <v>4.172876304023862E-2</v>
      </c>
      <c r="AF202">
        <v>139.80000000000001</v>
      </c>
    </row>
    <row r="203" spans="1:32" hidden="1" x14ac:dyDescent="0.3">
      <c r="A203" t="s">
        <v>50</v>
      </c>
      <c r="B203">
        <v>2018</v>
      </c>
      <c r="C203" t="s">
        <v>61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f>AVERAGE(U201:U202)</f>
        <v>143.6</v>
      </c>
      <c r="V203">
        <v>147.69999999999999</v>
      </c>
      <c r="W203">
        <v>143.80000000000001</v>
      </c>
      <c r="X203">
        <v>139.4</v>
      </c>
      <c r="Y203">
        <v>128.30000000000001</v>
      </c>
      <c r="Z203">
        <v>138.6</v>
      </c>
      <c r="AA203">
        <v>146.9</v>
      </c>
      <c r="AB203">
        <v>131.30000000000001</v>
      </c>
      <c r="AC203">
        <v>136.6</v>
      </c>
      <c r="AF203">
        <v>142.5</v>
      </c>
    </row>
    <row r="204" spans="1:32" hidden="1" x14ac:dyDescent="0.3">
      <c r="A204" t="s">
        <v>53</v>
      </c>
      <c r="B204">
        <v>2018</v>
      </c>
      <c r="C204" t="s">
        <v>61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F204">
        <v>138</v>
      </c>
    </row>
    <row r="205" spans="1:32" x14ac:dyDescent="0.3">
      <c r="A205" t="s">
        <v>54</v>
      </c>
      <c r="B205">
        <v>2018</v>
      </c>
      <c r="C205" t="s">
        <v>61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t="str">
        <f>C205 &amp; " "  &amp; B205</f>
        <v>August 2018</v>
      </c>
      <c r="AE205" s="3">
        <f>(AF205-AF169)/AF169</f>
        <v>3.6927621861152143E-2</v>
      </c>
      <c r="AF205">
        <v>140.4</v>
      </c>
    </row>
    <row r="206" spans="1:32" hidden="1" x14ac:dyDescent="0.3">
      <c r="A206" t="s">
        <v>50</v>
      </c>
      <c r="B206">
        <v>2018</v>
      </c>
      <c r="C206" t="s">
        <v>62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f>AVERAGE(U204:U205)</f>
        <v>144.6</v>
      </c>
      <c r="V206">
        <v>149</v>
      </c>
      <c r="W206">
        <v>144</v>
      </c>
      <c r="X206">
        <v>140</v>
      </c>
      <c r="Y206">
        <v>129.9</v>
      </c>
      <c r="Z206">
        <v>140</v>
      </c>
      <c r="AA206">
        <v>147.6</v>
      </c>
      <c r="AB206">
        <v>132</v>
      </c>
      <c r="AC206">
        <v>137.4</v>
      </c>
      <c r="AF206">
        <v>142.1</v>
      </c>
    </row>
    <row r="207" spans="1:32" hidden="1" x14ac:dyDescent="0.3">
      <c r="A207" t="s">
        <v>53</v>
      </c>
      <c r="B207">
        <v>2018</v>
      </c>
      <c r="C207" t="s">
        <v>62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F207">
        <v>138.1</v>
      </c>
    </row>
    <row r="208" spans="1:32" x14ac:dyDescent="0.3">
      <c r="A208" t="s">
        <v>54</v>
      </c>
      <c r="B208">
        <v>2018</v>
      </c>
      <c r="C208" t="s">
        <v>62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t="str">
        <f>C208 &amp; " "  &amp; B208</f>
        <v>September 2018</v>
      </c>
      <c r="AE208" s="3">
        <f>(AF208-AF172)/AF172</f>
        <v>3.6982248520710061E-2</v>
      </c>
      <c r="AF208">
        <v>140.19999999999999</v>
      </c>
    </row>
    <row r="209" spans="1:32" hidden="1" x14ac:dyDescent="0.3">
      <c r="A209" t="s">
        <v>50</v>
      </c>
      <c r="B209">
        <v>2018</v>
      </c>
      <c r="C209" t="s">
        <v>63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f>AVERAGE(U207:U208)</f>
        <v>145.30000000000001</v>
      </c>
      <c r="V209">
        <v>149.69999999999999</v>
      </c>
      <c r="W209">
        <v>147.5</v>
      </c>
      <c r="X209">
        <v>144.80000000000001</v>
      </c>
      <c r="Y209">
        <v>130.80000000000001</v>
      </c>
      <c r="Z209">
        <v>140.1</v>
      </c>
      <c r="AA209">
        <v>148</v>
      </c>
      <c r="AB209">
        <v>134.4</v>
      </c>
      <c r="AC209">
        <v>139.80000000000001</v>
      </c>
      <c r="AF209">
        <v>142.19999999999999</v>
      </c>
    </row>
    <row r="210" spans="1:32" hidden="1" x14ac:dyDescent="0.3">
      <c r="A210" t="s">
        <v>53</v>
      </c>
      <c r="B210">
        <v>2018</v>
      </c>
      <c r="C210" t="s">
        <v>63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F210">
        <v>138.9</v>
      </c>
    </row>
    <row r="211" spans="1:32" x14ac:dyDescent="0.3">
      <c r="A211" t="s">
        <v>54</v>
      </c>
      <c r="B211">
        <v>2018</v>
      </c>
      <c r="C211" t="s">
        <v>63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t="str">
        <f>C211 &amp; " "  &amp; B211</f>
        <v>October 2018</v>
      </c>
      <c r="AE211" s="3">
        <f>(AF211-AF175)/AF175</f>
        <v>3.4533431300514457E-2</v>
      </c>
      <c r="AF211">
        <v>140.80000000000001</v>
      </c>
    </row>
    <row r="212" spans="1:32" hidden="1" x14ac:dyDescent="0.3">
      <c r="A212" t="s">
        <v>50</v>
      </c>
      <c r="B212">
        <v>2018</v>
      </c>
      <c r="C212" t="s">
        <v>65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f>AVERAGE(U210:U211)</f>
        <v>146.60000000000002</v>
      </c>
      <c r="V212">
        <v>150.30000000000001</v>
      </c>
      <c r="W212">
        <v>148</v>
      </c>
      <c r="X212">
        <v>145.4</v>
      </c>
      <c r="Y212">
        <v>130.30000000000001</v>
      </c>
      <c r="Z212">
        <v>143.1</v>
      </c>
      <c r="AA212">
        <v>150.19999999999999</v>
      </c>
      <c r="AB212">
        <v>133.1</v>
      </c>
      <c r="AC212">
        <v>140.1</v>
      </c>
      <c r="AF212">
        <v>142.4</v>
      </c>
    </row>
    <row r="213" spans="1:32" hidden="1" x14ac:dyDescent="0.3">
      <c r="A213" t="s">
        <v>53</v>
      </c>
      <c r="B213">
        <v>2018</v>
      </c>
      <c r="C213" t="s">
        <v>65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F213">
        <v>139</v>
      </c>
    </row>
    <row r="214" spans="1:32" x14ac:dyDescent="0.3">
      <c r="A214" t="s">
        <v>54</v>
      </c>
      <c r="B214">
        <v>2018</v>
      </c>
      <c r="C214" t="s">
        <v>65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t="str">
        <f>C214 &amp; " "  &amp; B214</f>
        <v>November 2018</v>
      </c>
      <c r="AE214" s="3">
        <f>(AF214-AF178)/AF178</f>
        <v>2.3255813953488497E-2</v>
      </c>
      <c r="AF214">
        <v>140.80000000000001</v>
      </c>
    </row>
    <row r="215" spans="1:32" hidden="1" x14ac:dyDescent="0.3">
      <c r="A215" t="s">
        <v>50</v>
      </c>
      <c r="B215">
        <v>2018</v>
      </c>
      <c r="C215" t="s">
        <v>66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f>AVERAGE(U213:U214)</f>
        <v>146.9</v>
      </c>
      <c r="V215">
        <v>149</v>
      </c>
      <c r="W215">
        <v>149.5</v>
      </c>
      <c r="X215">
        <v>149.6</v>
      </c>
      <c r="Y215">
        <v>128.9</v>
      </c>
      <c r="Z215">
        <v>143.30000000000001</v>
      </c>
      <c r="AA215">
        <v>155.1</v>
      </c>
      <c r="AB215">
        <v>133.19999999999999</v>
      </c>
      <c r="AC215">
        <v>141.6</v>
      </c>
      <c r="AF215">
        <v>141.9</v>
      </c>
    </row>
    <row r="216" spans="1:32" hidden="1" x14ac:dyDescent="0.3">
      <c r="A216" t="s">
        <v>53</v>
      </c>
      <c r="B216">
        <v>2018</v>
      </c>
      <c r="C216" t="s">
        <v>66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F216">
        <v>138</v>
      </c>
    </row>
    <row r="217" spans="1:32" x14ac:dyDescent="0.3">
      <c r="A217" t="s">
        <v>54</v>
      </c>
      <c r="B217">
        <v>2018</v>
      </c>
      <c r="C217" t="s">
        <v>66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t="str">
        <f>C217 &amp; " "  &amp; B217</f>
        <v>December 2018</v>
      </c>
      <c r="AE217" s="3">
        <f>(AF217-AF181)/AF181</f>
        <v>2.1137026239067099E-2</v>
      </c>
      <c r="AF217">
        <v>140.1</v>
      </c>
    </row>
    <row r="218" spans="1:32" hidden="1" x14ac:dyDescent="0.3">
      <c r="A218" t="s">
        <v>50</v>
      </c>
      <c r="B218">
        <v>2019</v>
      </c>
      <c r="C218" t="s">
        <v>51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f>AVERAGE(U216:U217)</f>
        <v>146.5</v>
      </c>
      <c r="V218">
        <v>146.19999999999999</v>
      </c>
      <c r="W218">
        <v>150.1</v>
      </c>
      <c r="X218">
        <v>149.6</v>
      </c>
      <c r="Y218">
        <v>128.6</v>
      </c>
      <c r="Z218">
        <v>142.9</v>
      </c>
      <c r="AA218">
        <v>155.19999999999999</v>
      </c>
      <c r="AB218">
        <v>133.5</v>
      </c>
      <c r="AC218">
        <v>141.69999999999999</v>
      </c>
      <c r="AF218">
        <v>141</v>
      </c>
    </row>
    <row r="219" spans="1:32" hidden="1" x14ac:dyDescent="0.3">
      <c r="A219" t="s">
        <v>53</v>
      </c>
      <c r="B219">
        <v>2019</v>
      </c>
      <c r="C219" t="s">
        <v>51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F219">
        <v>138</v>
      </c>
    </row>
    <row r="220" spans="1:32" x14ac:dyDescent="0.3">
      <c r="A220" t="s">
        <v>54</v>
      </c>
      <c r="B220">
        <v>2019</v>
      </c>
      <c r="C220" t="s">
        <v>51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t="str">
        <f>C220 &amp; " "  &amp; B220</f>
        <v>January 2019</v>
      </c>
      <c r="AE220" s="3">
        <f>(AF220-AF184)/AF184</f>
        <v>1.9722425127830449E-2</v>
      </c>
      <c r="AF220">
        <v>139.6</v>
      </c>
    </row>
    <row r="221" spans="1:32" hidden="1" x14ac:dyDescent="0.3">
      <c r="A221" t="s">
        <v>50</v>
      </c>
      <c r="B221">
        <v>2019</v>
      </c>
      <c r="C221" t="s">
        <v>55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f>AVERAGE(U219:U220)</f>
        <v>147.69999999999999</v>
      </c>
      <c r="V221">
        <v>145.30000000000001</v>
      </c>
      <c r="W221">
        <v>150.1</v>
      </c>
      <c r="X221">
        <v>149.9</v>
      </c>
      <c r="Y221">
        <v>129.19999999999999</v>
      </c>
      <c r="Z221">
        <v>143.4</v>
      </c>
      <c r="AA221">
        <v>155.5</v>
      </c>
      <c r="AB221">
        <v>134.9</v>
      </c>
      <c r="AC221">
        <v>142.19999999999999</v>
      </c>
      <c r="AF221">
        <v>141</v>
      </c>
    </row>
    <row r="222" spans="1:32" hidden="1" x14ac:dyDescent="0.3">
      <c r="A222" t="s">
        <v>53</v>
      </c>
      <c r="B222">
        <v>2019</v>
      </c>
      <c r="C222" t="s">
        <v>55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F222">
        <v>138.6</v>
      </c>
    </row>
    <row r="223" spans="1:32" x14ac:dyDescent="0.3">
      <c r="A223" t="s">
        <v>54</v>
      </c>
      <c r="B223">
        <v>2019</v>
      </c>
      <c r="C223" t="s">
        <v>55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t="str">
        <f>C223 &amp; " "  &amp; B223</f>
        <v>February 2019</v>
      </c>
      <c r="AE223" s="3">
        <f>(AF223-AF187)/AF187</f>
        <v>2.5659824046920819E-2</v>
      </c>
      <c r="AF223">
        <v>139.9</v>
      </c>
    </row>
    <row r="224" spans="1:32" hidden="1" x14ac:dyDescent="0.3">
      <c r="A224" t="s">
        <v>50</v>
      </c>
      <c r="B224">
        <v>2019</v>
      </c>
      <c r="C224" t="s">
        <v>56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f>AVERAGE(U222:U223)</f>
        <v>148.5</v>
      </c>
      <c r="V224">
        <v>146.4</v>
      </c>
      <c r="W224">
        <v>150</v>
      </c>
      <c r="X224">
        <v>150.4</v>
      </c>
      <c r="Y224">
        <v>129.9</v>
      </c>
      <c r="Z224">
        <v>143.80000000000001</v>
      </c>
      <c r="AA224">
        <v>155.5</v>
      </c>
      <c r="AB224">
        <v>134</v>
      </c>
      <c r="AC224">
        <v>142.4</v>
      </c>
      <c r="AF224">
        <v>141.19999999999999</v>
      </c>
    </row>
    <row r="225" spans="1:32" hidden="1" x14ac:dyDescent="0.3">
      <c r="A225" t="s">
        <v>53</v>
      </c>
      <c r="B225">
        <v>2019</v>
      </c>
      <c r="C225" t="s">
        <v>56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F225">
        <v>139.5</v>
      </c>
    </row>
    <row r="226" spans="1:32" x14ac:dyDescent="0.3">
      <c r="A226" t="s">
        <v>54</v>
      </c>
      <c r="B226">
        <v>2019</v>
      </c>
      <c r="C226" t="s">
        <v>56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t="str">
        <f>C226 &amp; " "  &amp; B226</f>
        <v>March 2019</v>
      </c>
      <c r="AE226" s="3">
        <f>(AF226-AF190)/AF190</f>
        <v>2.8571428571428612E-2</v>
      </c>
      <c r="AF226">
        <v>140.4</v>
      </c>
    </row>
    <row r="227" spans="1:32" hidden="1" x14ac:dyDescent="0.3">
      <c r="A227" t="s">
        <v>50</v>
      </c>
      <c r="B227">
        <v>2019</v>
      </c>
      <c r="C227" t="s">
        <v>58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f>AVERAGE(U225:U226)</f>
        <v>149</v>
      </c>
      <c r="V227">
        <v>146.9</v>
      </c>
      <c r="W227">
        <v>149.5</v>
      </c>
      <c r="X227">
        <v>151.30000000000001</v>
      </c>
      <c r="Y227">
        <v>130.19999999999999</v>
      </c>
      <c r="Z227">
        <v>145.9</v>
      </c>
      <c r="AA227">
        <v>156.69999999999999</v>
      </c>
      <c r="AB227">
        <v>133.9</v>
      </c>
      <c r="AC227">
        <v>142.9</v>
      </c>
      <c r="AF227">
        <v>142.4</v>
      </c>
    </row>
    <row r="228" spans="1:32" hidden="1" x14ac:dyDescent="0.3">
      <c r="A228" t="s">
        <v>53</v>
      </c>
      <c r="B228">
        <v>2019</v>
      </c>
      <c r="C228" t="s">
        <v>58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F228">
        <v>141.5</v>
      </c>
    </row>
    <row r="229" spans="1:32" x14ac:dyDescent="0.3">
      <c r="A229" t="s">
        <v>54</v>
      </c>
      <c r="B229">
        <v>2019</v>
      </c>
      <c r="C229" t="s">
        <v>58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t="str">
        <f>C229 &amp; " "  &amp; B229</f>
        <v>May 2019</v>
      </c>
      <c r="AE229" s="3">
        <f>(AF229-AF193)/AF193</f>
        <v>3.5740335521517182E-2</v>
      </c>
      <c r="AF229">
        <v>142</v>
      </c>
    </row>
    <row r="230" spans="1:32" hidden="1" x14ac:dyDescent="0.3">
      <c r="A230" t="s">
        <v>50</v>
      </c>
      <c r="B230">
        <v>2019</v>
      </c>
      <c r="C230" t="s">
        <v>59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f>AVERAGE(U228:U229)</f>
        <v>150.1</v>
      </c>
      <c r="V230">
        <v>147.80000000000001</v>
      </c>
      <c r="W230">
        <v>149.6</v>
      </c>
      <c r="X230">
        <v>151.69999999999999</v>
      </c>
      <c r="Y230">
        <v>130.19999999999999</v>
      </c>
      <c r="Z230">
        <v>146.4</v>
      </c>
      <c r="AA230">
        <v>157.69999999999999</v>
      </c>
      <c r="AB230">
        <v>134.80000000000001</v>
      </c>
      <c r="AC230">
        <v>143.30000000000001</v>
      </c>
      <c r="AF230">
        <v>143.6</v>
      </c>
    </row>
    <row r="231" spans="1:32" hidden="1" x14ac:dyDescent="0.3">
      <c r="A231" t="s">
        <v>53</v>
      </c>
      <c r="B231">
        <v>2019</v>
      </c>
      <c r="C231" t="s">
        <v>59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F231">
        <v>142.1</v>
      </c>
    </row>
    <row r="232" spans="1:32" x14ac:dyDescent="0.3">
      <c r="A232" t="s">
        <v>54</v>
      </c>
      <c r="B232">
        <v>2019</v>
      </c>
      <c r="C232" t="s">
        <v>59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t="str">
        <f>C232 &amp; " "  &amp; B232</f>
        <v>June 2019</v>
      </c>
      <c r="AE232" s="3">
        <f>(AF232-AF196)/AF196</f>
        <v>3.7010159651669039E-2</v>
      </c>
      <c r="AF232">
        <v>142.9</v>
      </c>
    </row>
    <row r="233" spans="1:32" hidden="1" x14ac:dyDescent="0.3">
      <c r="A233" t="s">
        <v>50</v>
      </c>
      <c r="B233">
        <v>2019</v>
      </c>
      <c r="C233" t="s">
        <v>60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f>AVERAGE(U231:U232)</f>
        <v>149.4</v>
      </c>
      <c r="V233">
        <v>146.80000000000001</v>
      </c>
      <c r="W233">
        <v>150</v>
      </c>
      <c r="X233">
        <v>152.19999999999999</v>
      </c>
      <c r="Y233">
        <v>131.19999999999999</v>
      </c>
      <c r="Z233">
        <v>147.5</v>
      </c>
      <c r="AA233">
        <v>159.1</v>
      </c>
      <c r="AB233">
        <v>136.1</v>
      </c>
      <c r="AC233">
        <v>144.19999999999999</v>
      </c>
      <c r="AF233">
        <v>144.9</v>
      </c>
    </row>
    <row r="234" spans="1:32" hidden="1" x14ac:dyDescent="0.3">
      <c r="A234" t="s">
        <v>53</v>
      </c>
      <c r="B234">
        <v>2019</v>
      </c>
      <c r="C234" t="s">
        <v>60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F234">
        <v>143.30000000000001</v>
      </c>
    </row>
    <row r="235" spans="1:32" x14ac:dyDescent="0.3">
      <c r="A235" t="s">
        <v>54</v>
      </c>
      <c r="B235">
        <v>2019</v>
      </c>
      <c r="C235" t="s">
        <v>60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t="str">
        <f>C235 &amp; " "  &amp; B235</f>
        <v>July 2019</v>
      </c>
      <c r="AE235" s="3">
        <f>(AF235-AF199)/AF199</f>
        <v>4.115523465703963E-2</v>
      </c>
      <c r="AF235">
        <v>144.19999999999999</v>
      </c>
    </row>
    <row r="236" spans="1:32" hidden="1" x14ac:dyDescent="0.3">
      <c r="A236" t="s">
        <v>50</v>
      </c>
      <c r="B236">
        <v>2019</v>
      </c>
      <c r="C236" t="s">
        <v>61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f>AVERAGE(U234:U235)</f>
        <v>150.6</v>
      </c>
      <c r="V236">
        <v>146.4</v>
      </c>
      <c r="W236">
        <v>150.19999999999999</v>
      </c>
      <c r="X236">
        <v>152.69999999999999</v>
      </c>
      <c r="Y236">
        <v>131.4</v>
      </c>
      <c r="Z236">
        <v>148</v>
      </c>
      <c r="AA236">
        <v>159.69999999999999</v>
      </c>
      <c r="AB236">
        <v>138.80000000000001</v>
      </c>
      <c r="AC236">
        <v>144.9</v>
      </c>
      <c r="AF236">
        <v>145.69999999999999</v>
      </c>
    </row>
    <row r="237" spans="1:32" hidden="1" x14ac:dyDescent="0.3">
      <c r="A237" t="s">
        <v>53</v>
      </c>
      <c r="B237">
        <v>2019</v>
      </c>
      <c r="C237" t="s">
        <v>61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F237">
        <v>144.19999999999999</v>
      </c>
    </row>
    <row r="238" spans="1:32" x14ac:dyDescent="0.3">
      <c r="A238" t="s">
        <v>54</v>
      </c>
      <c r="B238">
        <v>2019</v>
      </c>
      <c r="C238" t="s">
        <v>61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t="str">
        <f>C238 &amp; " "  &amp; B238</f>
        <v>August 2019</v>
      </c>
      <c r="AE238" s="3">
        <f>(AF238-AF202)/AF202</f>
        <v>3.7195994277539259E-2</v>
      </c>
      <c r="AF238">
        <v>145</v>
      </c>
    </row>
    <row r="239" spans="1:32" hidden="1" x14ac:dyDescent="0.3">
      <c r="A239" t="s">
        <v>50</v>
      </c>
      <c r="B239">
        <v>2019</v>
      </c>
      <c r="C239" t="s">
        <v>62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f>AVERAGE(U237:U238)</f>
        <v>151.6</v>
      </c>
      <c r="V239">
        <v>146.9</v>
      </c>
      <c r="W239">
        <v>150.30000000000001</v>
      </c>
      <c r="X239">
        <v>153.4</v>
      </c>
      <c r="Y239">
        <v>131.6</v>
      </c>
      <c r="Z239">
        <v>148.30000000000001</v>
      </c>
      <c r="AA239">
        <v>160.19999999999999</v>
      </c>
      <c r="AB239">
        <v>140.19999999999999</v>
      </c>
      <c r="AC239">
        <v>145.4</v>
      </c>
      <c r="AF239">
        <v>146.69999999999999</v>
      </c>
    </row>
    <row r="240" spans="1:32" hidden="1" x14ac:dyDescent="0.3">
      <c r="A240" t="s">
        <v>53</v>
      </c>
      <c r="B240">
        <v>2019</v>
      </c>
      <c r="C240" t="s">
        <v>62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F240">
        <v>144.69999999999999</v>
      </c>
    </row>
    <row r="241" spans="1:32" x14ac:dyDescent="0.3">
      <c r="A241" t="s">
        <v>54</v>
      </c>
      <c r="B241">
        <v>2019</v>
      </c>
      <c r="C241" t="s">
        <v>62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t="str">
        <f>C241 &amp; " "  &amp; B241</f>
        <v>September 2019</v>
      </c>
      <c r="AE241" s="3">
        <f>(AF241-AF205)/AF205</f>
        <v>3.8461538461538498E-2</v>
      </c>
      <c r="AF241">
        <v>145.80000000000001</v>
      </c>
    </row>
    <row r="242" spans="1:32" hidden="1" x14ac:dyDescent="0.3">
      <c r="A242" t="s">
        <v>50</v>
      </c>
      <c r="B242">
        <v>2019</v>
      </c>
      <c r="C242" t="s">
        <v>63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f>AVERAGE(U240:U241)</f>
        <v>152.19999999999999</v>
      </c>
      <c r="V242">
        <v>147.69999999999999</v>
      </c>
      <c r="W242">
        <v>150.6</v>
      </c>
      <c r="X242">
        <v>153.69999999999999</v>
      </c>
      <c r="Y242">
        <v>131.69999999999999</v>
      </c>
      <c r="Z242">
        <v>148.69999999999999</v>
      </c>
      <c r="AA242">
        <v>160.69999999999999</v>
      </c>
      <c r="AB242">
        <v>140.30000000000001</v>
      </c>
      <c r="AC242">
        <v>145.69999999999999</v>
      </c>
      <c r="AF242">
        <v>148.30000000000001</v>
      </c>
    </row>
    <row r="243" spans="1:32" hidden="1" x14ac:dyDescent="0.3">
      <c r="A243" t="s">
        <v>53</v>
      </c>
      <c r="B243">
        <v>2019</v>
      </c>
      <c r="C243" t="s">
        <v>63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F243">
        <v>146</v>
      </c>
    </row>
    <row r="244" spans="1:32" x14ac:dyDescent="0.3">
      <c r="A244" t="s">
        <v>54</v>
      </c>
      <c r="B244">
        <v>2019</v>
      </c>
      <c r="C244" t="s">
        <v>63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t="str">
        <f>C244 &amp; " "  &amp; B244</f>
        <v>October 2019</v>
      </c>
      <c r="AE244" s="3">
        <f>(AF244-AF208)/AF208</f>
        <v>4.9928673323823114E-2</v>
      </c>
      <c r="AF244">
        <v>147.19999999999999</v>
      </c>
    </row>
    <row r="245" spans="1:32" hidden="1" x14ac:dyDescent="0.3">
      <c r="A245" t="s">
        <v>50</v>
      </c>
      <c r="B245">
        <v>2019</v>
      </c>
      <c r="C245" t="s">
        <v>65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f>AVERAGE(U243:U244)</f>
        <v>153</v>
      </c>
      <c r="V245">
        <v>148.4</v>
      </c>
      <c r="W245">
        <v>150.9</v>
      </c>
      <c r="X245">
        <v>154.30000000000001</v>
      </c>
      <c r="Y245">
        <v>132.1</v>
      </c>
      <c r="Z245">
        <v>149.1</v>
      </c>
      <c r="AA245">
        <v>160.80000000000001</v>
      </c>
      <c r="AB245">
        <v>140.6</v>
      </c>
      <c r="AC245">
        <v>146.1</v>
      </c>
      <c r="AF245">
        <v>149.9</v>
      </c>
    </row>
    <row r="246" spans="1:32" hidden="1" x14ac:dyDescent="0.3">
      <c r="A246" t="s">
        <v>53</v>
      </c>
      <c r="B246">
        <v>2019</v>
      </c>
      <c r="C246" t="s">
        <v>65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F246">
        <v>147</v>
      </c>
    </row>
    <row r="247" spans="1:32" x14ac:dyDescent="0.3">
      <c r="A247" t="s">
        <v>54</v>
      </c>
      <c r="B247">
        <v>2019</v>
      </c>
      <c r="C247" t="s">
        <v>65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t="str">
        <f>C247 &amp; " "  &amp; B247</f>
        <v>November 2019</v>
      </c>
      <c r="AE247" s="3">
        <f>(AF247-AF211)/AF211</f>
        <v>5.5397727272727147E-2</v>
      </c>
      <c r="AF247">
        <v>148.6</v>
      </c>
    </row>
    <row r="248" spans="1:32" hidden="1" x14ac:dyDescent="0.3">
      <c r="A248" t="s">
        <v>50</v>
      </c>
      <c r="B248">
        <v>2019</v>
      </c>
      <c r="C248" t="s">
        <v>66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f>AVERAGE(U246:U247)</f>
        <v>153.5</v>
      </c>
      <c r="V248">
        <v>149.9</v>
      </c>
      <c r="W248">
        <v>151.19999999999999</v>
      </c>
      <c r="X248">
        <v>154.80000000000001</v>
      </c>
      <c r="Y248">
        <v>135</v>
      </c>
      <c r="Z248">
        <v>149.5</v>
      </c>
      <c r="AA248">
        <v>161.1</v>
      </c>
      <c r="AB248">
        <v>140.6</v>
      </c>
      <c r="AC248">
        <v>147.1</v>
      </c>
      <c r="AF248">
        <v>152.30000000000001</v>
      </c>
    </row>
    <row r="249" spans="1:32" hidden="1" x14ac:dyDescent="0.3">
      <c r="A249" t="s">
        <v>53</v>
      </c>
      <c r="B249">
        <v>2019</v>
      </c>
      <c r="C249" t="s">
        <v>66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F249">
        <v>148.30000000000001</v>
      </c>
    </row>
    <row r="250" spans="1:32" x14ac:dyDescent="0.3">
      <c r="A250" t="s">
        <v>54</v>
      </c>
      <c r="B250">
        <v>2019</v>
      </c>
      <c r="C250" t="s">
        <v>66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t="str">
        <f>C250 &amp; " "  &amp; B250</f>
        <v>December 2019</v>
      </c>
      <c r="AE250" s="3">
        <f>(AF250-AF214)/AF214</f>
        <v>6.8181818181818135E-2</v>
      </c>
      <c r="AF250">
        <v>150.4</v>
      </c>
    </row>
    <row r="251" spans="1:32" hidden="1" x14ac:dyDescent="0.3">
      <c r="A251" t="s">
        <v>50</v>
      </c>
      <c r="B251">
        <v>2020</v>
      </c>
      <c r="C251" t="s">
        <v>51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f>AVERAGE(U249:U250)</f>
        <v>152.80000000000001</v>
      </c>
      <c r="V251">
        <v>150.4</v>
      </c>
      <c r="W251">
        <v>151.69999999999999</v>
      </c>
      <c r="X251">
        <v>155.69999999999999</v>
      </c>
      <c r="Y251">
        <v>136.30000000000001</v>
      </c>
      <c r="Z251">
        <v>150.1</v>
      </c>
      <c r="AA251">
        <v>161.69999999999999</v>
      </c>
      <c r="AB251">
        <v>142.5</v>
      </c>
      <c r="AC251">
        <v>148.1</v>
      </c>
      <c r="AF251">
        <v>151.9</v>
      </c>
    </row>
    <row r="252" spans="1:32" hidden="1" x14ac:dyDescent="0.3">
      <c r="A252" t="s">
        <v>53</v>
      </c>
      <c r="B252">
        <v>2020</v>
      </c>
      <c r="C252" t="s">
        <v>51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F252">
        <v>148.19999999999999</v>
      </c>
    </row>
    <row r="253" spans="1:32" x14ac:dyDescent="0.3">
      <c r="A253" t="s">
        <v>54</v>
      </c>
      <c r="B253">
        <v>2020</v>
      </c>
      <c r="C253" t="s">
        <v>51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t="str">
        <f>C253 &amp; " "  &amp; B253</f>
        <v>January 2020</v>
      </c>
      <c r="AE253" s="3">
        <f>(AF253-AF217)/AF217</f>
        <v>7.2091363311920023E-2</v>
      </c>
      <c r="AF253">
        <v>150.19999999999999</v>
      </c>
    </row>
    <row r="254" spans="1:32" hidden="1" x14ac:dyDescent="0.3">
      <c r="A254" t="s">
        <v>50</v>
      </c>
      <c r="B254">
        <v>2020</v>
      </c>
      <c r="C254" t="s">
        <v>55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f>AVERAGE(U252:U253)</f>
        <v>153.9</v>
      </c>
      <c r="V254">
        <v>152.30000000000001</v>
      </c>
      <c r="W254">
        <v>151.80000000000001</v>
      </c>
      <c r="X254">
        <v>156.19999999999999</v>
      </c>
      <c r="Y254">
        <v>136</v>
      </c>
      <c r="Z254">
        <v>150.4</v>
      </c>
      <c r="AA254">
        <v>161.9</v>
      </c>
      <c r="AB254">
        <v>143.4</v>
      </c>
      <c r="AC254">
        <v>148.4</v>
      </c>
      <c r="AF254">
        <v>150.4</v>
      </c>
    </row>
    <row r="255" spans="1:32" hidden="1" x14ac:dyDescent="0.3">
      <c r="A255" t="s">
        <v>53</v>
      </c>
      <c r="B255">
        <v>2020</v>
      </c>
      <c r="C255" t="s">
        <v>55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F255">
        <v>147.69999999999999</v>
      </c>
    </row>
    <row r="256" spans="1:32" x14ac:dyDescent="0.3">
      <c r="A256" t="s">
        <v>54</v>
      </c>
      <c r="B256">
        <v>2020</v>
      </c>
      <c r="C256" t="s">
        <v>55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t="str">
        <f>C256 &amp; " "  &amp; B256</f>
        <v>February 2020</v>
      </c>
      <c r="AE256" s="3">
        <f>(AF256-AF220)/AF220</f>
        <v>6.8051575931232094E-2</v>
      </c>
      <c r="AF256">
        <v>149.1</v>
      </c>
    </row>
    <row r="257" spans="1:32" hidden="1" x14ac:dyDescent="0.3">
      <c r="A257" t="s">
        <v>50</v>
      </c>
      <c r="B257">
        <v>2020</v>
      </c>
      <c r="C257" t="s">
        <v>56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f>AVERAGE(U255:U256)</f>
        <v>154.80000000000001</v>
      </c>
      <c r="V257">
        <v>153.4</v>
      </c>
      <c r="W257">
        <v>151.5</v>
      </c>
      <c r="X257">
        <v>156.69999999999999</v>
      </c>
      <c r="Y257">
        <v>135.80000000000001</v>
      </c>
      <c r="Z257">
        <v>151.19999999999999</v>
      </c>
      <c r="AA257">
        <v>161.19999999999999</v>
      </c>
      <c r="AB257">
        <v>145.1</v>
      </c>
      <c r="AC257">
        <v>148.6</v>
      </c>
      <c r="AF257">
        <v>149.80000000000001</v>
      </c>
    </row>
    <row r="258" spans="1:32" hidden="1" x14ac:dyDescent="0.3">
      <c r="A258" t="s">
        <v>53</v>
      </c>
      <c r="B258">
        <v>2020</v>
      </c>
      <c r="C258" t="s">
        <v>56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F258">
        <v>147.30000000000001</v>
      </c>
    </row>
    <row r="259" spans="1:32" x14ac:dyDescent="0.3">
      <c r="A259" t="s">
        <v>54</v>
      </c>
      <c r="B259">
        <v>2020</v>
      </c>
      <c r="C259" t="s">
        <v>56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t="str">
        <f>C259 &amp; " "  &amp; B259</f>
        <v>March 2020</v>
      </c>
      <c r="AE259" s="3">
        <f>(AF259-AF223)/AF223</f>
        <v>6.2187276626161463E-2</v>
      </c>
      <c r="AF259">
        <v>148.6</v>
      </c>
    </row>
    <row r="260" spans="1:32" hidden="1" x14ac:dyDescent="0.3">
      <c r="A260" t="s">
        <v>50</v>
      </c>
      <c r="B260">
        <v>2020</v>
      </c>
      <c r="C260" t="s">
        <v>59</v>
      </c>
      <c r="D260">
        <v>148.19999999999999</v>
      </c>
      <c r="E260">
        <v>190.3</v>
      </c>
      <c r="F260">
        <v>149.4</v>
      </c>
      <c r="G260">
        <v>153.30000000000001</v>
      </c>
      <c r="H260">
        <v>138.19999999999999</v>
      </c>
      <c r="I260">
        <v>143.19999999999999</v>
      </c>
      <c r="J260">
        <v>148.9</v>
      </c>
      <c r="K260">
        <v>150.30000000000001</v>
      </c>
      <c r="L260">
        <v>113.2</v>
      </c>
      <c r="M260">
        <v>159.80000000000001</v>
      </c>
      <c r="N260">
        <v>142.1</v>
      </c>
      <c r="O260">
        <v>161.80000000000001</v>
      </c>
      <c r="P260">
        <v>152.30000000000001</v>
      </c>
      <c r="Q260">
        <v>182.4</v>
      </c>
      <c r="R260">
        <v>154.69999999999999</v>
      </c>
      <c r="S260">
        <v>150</v>
      </c>
      <c r="T260">
        <v>154.1</v>
      </c>
      <c r="U260">
        <f>AVERAGE(U258:U259)</f>
        <v>154.5</v>
      </c>
      <c r="V260">
        <v>144.9</v>
      </c>
      <c r="W260">
        <v>151.69999999999999</v>
      </c>
      <c r="X260">
        <v>158.19999999999999</v>
      </c>
      <c r="Y260">
        <v>141.4</v>
      </c>
      <c r="Z260">
        <v>153.19999999999999</v>
      </c>
      <c r="AA260">
        <v>161.80000000000001</v>
      </c>
      <c r="AB260">
        <v>151.19999999999999</v>
      </c>
      <c r="AC260">
        <v>151.69999999999999</v>
      </c>
      <c r="AF260">
        <v>152.69999999999999</v>
      </c>
    </row>
    <row r="261" spans="1:32" hidden="1" x14ac:dyDescent="0.3">
      <c r="A261" t="s">
        <v>53</v>
      </c>
      <c r="B261">
        <v>2020</v>
      </c>
      <c r="C261" t="s">
        <v>59</v>
      </c>
      <c r="D261">
        <v>152.69999999999999</v>
      </c>
      <c r="E261">
        <v>197</v>
      </c>
      <c r="F261">
        <v>154.6</v>
      </c>
      <c r="G261">
        <v>153.4</v>
      </c>
      <c r="H261">
        <v>132.9</v>
      </c>
      <c r="I261">
        <v>151.80000000000001</v>
      </c>
      <c r="J261">
        <v>171.2</v>
      </c>
      <c r="K261">
        <v>152</v>
      </c>
      <c r="L261">
        <v>116.3</v>
      </c>
      <c r="M261">
        <v>158.80000000000001</v>
      </c>
      <c r="N261">
        <v>135.6</v>
      </c>
      <c r="O261">
        <v>161.69999999999999</v>
      </c>
      <c r="P261">
        <v>157</v>
      </c>
      <c r="Q261">
        <v>186.7</v>
      </c>
      <c r="R261">
        <v>149.1</v>
      </c>
      <c r="S261">
        <v>136.6</v>
      </c>
      <c r="T261">
        <v>147.19999999999999</v>
      </c>
      <c r="U261">
        <v>154.69999999999999</v>
      </c>
      <c r="V261">
        <v>137.1</v>
      </c>
      <c r="W261">
        <v>140.4</v>
      </c>
      <c r="X261">
        <v>148.1</v>
      </c>
      <c r="Y261">
        <v>129.30000000000001</v>
      </c>
      <c r="Z261">
        <v>144.5</v>
      </c>
      <c r="AA261">
        <v>152.5</v>
      </c>
      <c r="AB261">
        <v>152.19999999999999</v>
      </c>
      <c r="AC261">
        <v>142</v>
      </c>
      <c r="AF261">
        <v>150.80000000000001</v>
      </c>
    </row>
    <row r="262" spans="1:32" x14ac:dyDescent="0.3">
      <c r="A262" t="s">
        <v>54</v>
      </c>
      <c r="B262">
        <v>2020</v>
      </c>
      <c r="C262" t="s">
        <v>59</v>
      </c>
      <c r="D262">
        <v>149.6</v>
      </c>
      <c r="E262">
        <v>192.7</v>
      </c>
      <c r="F262">
        <v>151.4</v>
      </c>
      <c r="G262">
        <v>153.30000000000001</v>
      </c>
      <c r="H262">
        <v>136.30000000000001</v>
      </c>
      <c r="I262">
        <v>147.19999999999999</v>
      </c>
      <c r="J262">
        <v>156.5</v>
      </c>
      <c r="K262">
        <v>150.9</v>
      </c>
      <c r="L262">
        <v>114.2</v>
      </c>
      <c r="M262">
        <v>159.5</v>
      </c>
      <c r="N262">
        <v>139.4</v>
      </c>
      <c r="O262">
        <v>161.80000000000001</v>
      </c>
      <c r="P262">
        <v>154</v>
      </c>
      <c r="Q262">
        <v>183.5</v>
      </c>
      <c r="R262">
        <v>152.5</v>
      </c>
      <c r="S262">
        <v>144.4</v>
      </c>
      <c r="T262">
        <v>151.4</v>
      </c>
      <c r="U262">
        <v>154.69999999999999</v>
      </c>
      <c r="V262">
        <v>141.9</v>
      </c>
      <c r="W262">
        <v>146.4</v>
      </c>
      <c r="X262">
        <v>154.4</v>
      </c>
      <c r="Y262">
        <v>135</v>
      </c>
      <c r="Z262">
        <v>148.30000000000001</v>
      </c>
      <c r="AA262">
        <v>156.4</v>
      </c>
      <c r="AB262">
        <v>151.6</v>
      </c>
      <c r="AC262">
        <v>147</v>
      </c>
      <c r="AD262" t="str">
        <f>C262 &amp; " "  &amp; B262</f>
        <v>June 2020</v>
      </c>
      <c r="AE262" s="3">
        <f>(AF262-AF226)/AF226</f>
        <v>8.1196581196581227E-2</v>
      </c>
      <c r="AF262">
        <v>151.80000000000001</v>
      </c>
    </row>
    <row r="263" spans="1:32" hidden="1" x14ac:dyDescent="0.3">
      <c r="A263" t="s">
        <v>50</v>
      </c>
      <c r="B263">
        <v>2020</v>
      </c>
      <c r="C263" t="s">
        <v>60</v>
      </c>
      <c r="D263">
        <v>148.19999999999999</v>
      </c>
      <c r="E263">
        <v>190.3</v>
      </c>
      <c r="F263">
        <v>149.4</v>
      </c>
      <c r="G263">
        <v>153.30000000000001</v>
      </c>
      <c r="H263">
        <v>138.19999999999999</v>
      </c>
      <c r="I263">
        <v>143.19999999999999</v>
      </c>
      <c r="J263">
        <v>148.9</v>
      </c>
      <c r="K263">
        <v>150.30000000000001</v>
      </c>
      <c r="L263">
        <v>113.2</v>
      </c>
      <c r="M263">
        <v>159.80000000000001</v>
      </c>
      <c r="N263">
        <v>142.1</v>
      </c>
      <c r="O263">
        <v>161.80000000000001</v>
      </c>
      <c r="P263">
        <v>152.30000000000001</v>
      </c>
      <c r="Q263">
        <v>182.4</v>
      </c>
      <c r="R263">
        <v>154.69999999999999</v>
      </c>
      <c r="S263">
        <v>150</v>
      </c>
      <c r="T263">
        <v>154.1</v>
      </c>
      <c r="U263">
        <f>AVERAGE(U261:U262)</f>
        <v>154.69999999999999</v>
      </c>
      <c r="V263">
        <v>144.9</v>
      </c>
      <c r="W263">
        <v>151.69999999999999</v>
      </c>
      <c r="X263">
        <v>158.19999999999999</v>
      </c>
      <c r="Y263">
        <v>141.4</v>
      </c>
      <c r="Z263">
        <v>153.19999999999999</v>
      </c>
      <c r="AA263">
        <v>161.80000000000001</v>
      </c>
      <c r="AB263">
        <v>151.19999999999999</v>
      </c>
      <c r="AC263">
        <v>151.69999999999999</v>
      </c>
      <c r="AF263">
        <v>152.69999999999999</v>
      </c>
    </row>
    <row r="264" spans="1:32" hidden="1" x14ac:dyDescent="0.3">
      <c r="A264" t="s">
        <v>53</v>
      </c>
      <c r="B264">
        <v>2020</v>
      </c>
      <c r="C264" t="s">
        <v>60</v>
      </c>
      <c r="D264">
        <v>152.69999999999999</v>
      </c>
      <c r="E264">
        <v>197</v>
      </c>
      <c r="F264">
        <v>154.6</v>
      </c>
      <c r="G264">
        <v>153.4</v>
      </c>
      <c r="H264">
        <v>132.9</v>
      </c>
      <c r="I264">
        <v>151.80000000000001</v>
      </c>
      <c r="J264">
        <v>171.2</v>
      </c>
      <c r="K264">
        <v>152</v>
      </c>
      <c r="L264">
        <v>116.3</v>
      </c>
      <c r="M264">
        <v>158.80000000000001</v>
      </c>
      <c r="N264">
        <v>135.6</v>
      </c>
      <c r="O264">
        <v>161.69999999999999</v>
      </c>
      <c r="P264">
        <v>157</v>
      </c>
      <c r="Q264">
        <v>186.7</v>
      </c>
      <c r="R264">
        <v>149.1</v>
      </c>
      <c r="S264">
        <v>136.6</v>
      </c>
      <c r="T264">
        <v>147.19999999999999</v>
      </c>
      <c r="U264">
        <v>154.69999999999999</v>
      </c>
      <c r="V264">
        <v>137.1</v>
      </c>
      <c r="W264">
        <v>140.4</v>
      </c>
      <c r="X264">
        <v>148.1</v>
      </c>
      <c r="Y264">
        <v>129.30000000000001</v>
      </c>
      <c r="Z264">
        <v>144.5</v>
      </c>
      <c r="AA264">
        <v>152.5</v>
      </c>
      <c r="AB264">
        <v>152.19999999999999</v>
      </c>
      <c r="AC264">
        <v>142</v>
      </c>
      <c r="AF264">
        <v>150.80000000000001</v>
      </c>
    </row>
    <row r="265" spans="1:32" x14ac:dyDescent="0.3">
      <c r="A265" t="s">
        <v>54</v>
      </c>
      <c r="B265">
        <v>2020</v>
      </c>
      <c r="C265" t="s">
        <v>60</v>
      </c>
      <c r="D265">
        <v>149.6</v>
      </c>
      <c r="E265">
        <v>192.7</v>
      </c>
      <c r="F265">
        <v>151.4</v>
      </c>
      <c r="G265">
        <v>153.30000000000001</v>
      </c>
      <c r="H265">
        <v>136.30000000000001</v>
      </c>
      <c r="I265">
        <v>147.19999999999999</v>
      </c>
      <c r="J265">
        <v>156.5</v>
      </c>
      <c r="K265">
        <v>150.9</v>
      </c>
      <c r="L265">
        <v>114.2</v>
      </c>
      <c r="M265">
        <v>159.5</v>
      </c>
      <c r="N265">
        <v>139.4</v>
      </c>
      <c r="O265">
        <v>161.80000000000001</v>
      </c>
      <c r="P265">
        <v>154</v>
      </c>
      <c r="Q265">
        <v>183.5</v>
      </c>
      <c r="R265">
        <v>152.5</v>
      </c>
      <c r="S265">
        <v>144.4</v>
      </c>
      <c r="T265">
        <v>151.4</v>
      </c>
      <c r="U265">
        <v>154.69999999999999</v>
      </c>
      <c r="V265">
        <v>141.9</v>
      </c>
      <c r="W265">
        <v>146.4</v>
      </c>
      <c r="X265">
        <v>154.4</v>
      </c>
      <c r="Y265">
        <v>135</v>
      </c>
      <c r="Z265">
        <v>148.30000000000001</v>
      </c>
      <c r="AA265">
        <v>156.4</v>
      </c>
      <c r="AB265">
        <v>151.6</v>
      </c>
      <c r="AC265">
        <v>147</v>
      </c>
      <c r="AD265" t="str">
        <f>C265 &amp; " "  &amp; B265</f>
        <v>July 2020</v>
      </c>
      <c r="AE265" s="3">
        <f>(AF265-AF229)/AF229</f>
        <v>6.9014084507042328E-2</v>
      </c>
      <c r="AF265">
        <v>151.80000000000001</v>
      </c>
    </row>
    <row r="266" spans="1:32" hidden="1" x14ac:dyDescent="0.3">
      <c r="A266" t="s">
        <v>50</v>
      </c>
      <c r="B266">
        <v>2020</v>
      </c>
      <c r="C266" t="s">
        <v>61</v>
      </c>
      <c r="D266">
        <v>147.6</v>
      </c>
      <c r="E266">
        <v>187.2</v>
      </c>
      <c r="F266">
        <v>148.4</v>
      </c>
      <c r="G266">
        <v>153.30000000000001</v>
      </c>
      <c r="H266">
        <v>139.80000000000001</v>
      </c>
      <c r="I266">
        <v>146.9</v>
      </c>
      <c r="J266">
        <v>171</v>
      </c>
      <c r="K266">
        <v>149.9</v>
      </c>
      <c r="L266">
        <v>114.2</v>
      </c>
      <c r="M266">
        <v>160</v>
      </c>
      <c r="N266">
        <v>143.5</v>
      </c>
      <c r="O266">
        <v>161.5</v>
      </c>
      <c r="P266">
        <v>155.30000000000001</v>
      </c>
      <c r="Q266">
        <v>180.9</v>
      </c>
      <c r="R266">
        <v>155.1</v>
      </c>
      <c r="S266">
        <v>149.30000000000001</v>
      </c>
      <c r="T266">
        <v>154.30000000000001</v>
      </c>
      <c r="U266">
        <f>AVERAGE(U264:U265)</f>
        <v>154.69999999999999</v>
      </c>
      <c r="V266">
        <v>145.80000000000001</v>
      </c>
      <c r="W266">
        <v>151.9</v>
      </c>
      <c r="X266">
        <v>158.80000000000001</v>
      </c>
      <c r="Y266">
        <v>143.6</v>
      </c>
      <c r="Z266">
        <v>152.19999999999999</v>
      </c>
      <c r="AA266">
        <v>162.69999999999999</v>
      </c>
      <c r="AB266">
        <v>153.6</v>
      </c>
      <c r="AC266">
        <v>153</v>
      </c>
      <c r="AF266">
        <v>154.69999999999999</v>
      </c>
    </row>
    <row r="267" spans="1:32" hidden="1" x14ac:dyDescent="0.3">
      <c r="A267" t="s">
        <v>53</v>
      </c>
      <c r="B267">
        <v>2020</v>
      </c>
      <c r="C267" t="s">
        <v>61</v>
      </c>
      <c r="D267">
        <v>151.6</v>
      </c>
      <c r="E267">
        <v>197.8</v>
      </c>
      <c r="F267">
        <v>154.5</v>
      </c>
      <c r="G267">
        <v>153.4</v>
      </c>
      <c r="H267">
        <v>133.4</v>
      </c>
      <c r="I267">
        <v>154.5</v>
      </c>
      <c r="J267">
        <v>191.9</v>
      </c>
      <c r="K267">
        <v>151.30000000000001</v>
      </c>
      <c r="L267">
        <v>116.8</v>
      </c>
      <c r="M267">
        <v>160</v>
      </c>
      <c r="N267">
        <v>136.5</v>
      </c>
      <c r="O267">
        <v>163.30000000000001</v>
      </c>
      <c r="P267">
        <v>159.9</v>
      </c>
      <c r="Q267">
        <v>187.2</v>
      </c>
      <c r="R267">
        <v>150</v>
      </c>
      <c r="S267">
        <v>135.19999999999999</v>
      </c>
      <c r="T267">
        <v>147.80000000000001</v>
      </c>
      <c r="U267">
        <v>155.5</v>
      </c>
      <c r="V267">
        <v>138.30000000000001</v>
      </c>
      <c r="W267">
        <v>144.5</v>
      </c>
      <c r="X267">
        <v>148.69999999999999</v>
      </c>
      <c r="Y267">
        <v>133.9</v>
      </c>
      <c r="Z267">
        <v>141.19999999999999</v>
      </c>
      <c r="AA267">
        <v>155.5</v>
      </c>
      <c r="AB267">
        <v>155.19999999999999</v>
      </c>
      <c r="AC267">
        <v>144.80000000000001</v>
      </c>
      <c r="AF267">
        <v>152.9</v>
      </c>
    </row>
    <row r="268" spans="1:32" x14ac:dyDescent="0.3">
      <c r="A268" t="s">
        <v>54</v>
      </c>
      <c r="B268">
        <v>2020</v>
      </c>
      <c r="C268" t="s">
        <v>61</v>
      </c>
      <c r="D268">
        <v>148.9</v>
      </c>
      <c r="E268">
        <v>190.9</v>
      </c>
      <c r="F268">
        <v>150.80000000000001</v>
      </c>
      <c r="G268">
        <v>153.30000000000001</v>
      </c>
      <c r="H268">
        <v>137.4</v>
      </c>
      <c r="I268">
        <v>150.4</v>
      </c>
      <c r="J268">
        <v>178.1</v>
      </c>
      <c r="K268">
        <v>150.4</v>
      </c>
      <c r="L268">
        <v>115.1</v>
      </c>
      <c r="M268">
        <v>160</v>
      </c>
      <c r="N268">
        <v>140.6</v>
      </c>
      <c r="O268">
        <v>162.30000000000001</v>
      </c>
      <c r="P268">
        <v>157</v>
      </c>
      <c r="Q268">
        <v>182.6</v>
      </c>
      <c r="R268">
        <v>153.1</v>
      </c>
      <c r="S268">
        <v>143.4</v>
      </c>
      <c r="T268">
        <v>151.69999999999999</v>
      </c>
      <c r="U268">
        <v>155.5</v>
      </c>
      <c r="V268">
        <v>143</v>
      </c>
      <c r="W268">
        <v>148.4</v>
      </c>
      <c r="X268">
        <v>155</v>
      </c>
      <c r="Y268">
        <v>138.5</v>
      </c>
      <c r="Z268">
        <v>146</v>
      </c>
      <c r="AA268">
        <v>158.5</v>
      </c>
      <c r="AB268">
        <v>154.30000000000001</v>
      </c>
      <c r="AC268">
        <v>149</v>
      </c>
      <c r="AD268" t="str">
        <f>C268 &amp; " "  &amp; B268</f>
        <v>August 2020</v>
      </c>
      <c r="AE268" s="3">
        <f>(AF268-AF232)/AF232</f>
        <v>7.6976906927921626E-2</v>
      </c>
      <c r="AF268">
        <v>153.9</v>
      </c>
    </row>
    <row r="269" spans="1:32" hidden="1" x14ac:dyDescent="0.3">
      <c r="A269" t="s">
        <v>50</v>
      </c>
      <c r="B269">
        <v>2020</v>
      </c>
      <c r="C269" t="s">
        <v>62</v>
      </c>
      <c r="D269">
        <v>146.9</v>
      </c>
      <c r="E269">
        <v>183.9</v>
      </c>
      <c r="F269">
        <v>149.5</v>
      </c>
      <c r="G269">
        <v>153.4</v>
      </c>
      <c r="H269">
        <v>140.4</v>
      </c>
      <c r="I269">
        <v>147</v>
      </c>
      <c r="J269">
        <v>178.8</v>
      </c>
      <c r="K269">
        <v>149.30000000000001</v>
      </c>
      <c r="L269">
        <v>115.1</v>
      </c>
      <c r="M269">
        <v>160</v>
      </c>
      <c r="N269">
        <v>145.4</v>
      </c>
      <c r="O269">
        <v>161.6</v>
      </c>
      <c r="P269">
        <v>156.1</v>
      </c>
      <c r="Q269">
        <v>182.9</v>
      </c>
      <c r="R269">
        <v>155.4</v>
      </c>
      <c r="S269">
        <v>149.9</v>
      </c>
      <c r="T269">
        <v>154.6</v>
      </c>
      <c r="U269">
        <f>AVERAGE(U267:U268)</f>
        <v>155.5</v>
      </c>
      <c r="V269">
        <v>146.4</v>
      </c>
      <c r="W269">
        <v>151.6</v>
      </c>
      <c r="X269">
        <v>159.1</v>
      </c>
      <c r="Y269">
        <v>144.6</v>
      </c>
      <c r="Z269">
        <v>152.80000000000001</v>
      </c>
      <c r="AA269">
        <v>161.1</v>
      </c>
      <c r="AB269">
        <v>157.4</v>
      </c>
      <c r="AC269">
        <v>153.69999999999999</v>
      </c>
      <c r="AF269">
        <v>155.4</v>
      </c>
    </row>
    <row r="270" spans="1:32" hidden="1" x14ac:dyDescent="0.3">
      <c r="A270" t="s">
        <v>53</v>
      </c>
      <c r="B270">
        <v>2020</v>
      </c>
      <c r="C270" t="s">
        <v>62</v>
      </c>
      <c r="D270">
        <v>151.5</v>
      </c>
      <c r="E270">
        <v>193.1</v>
      </c>
      <c r="F270">
        <v>157.30000000000001</v>
      </c>
      <c r="G270">
        <v>153.9</v>
      </c>
      <c r="H270">
        <v>134.4</v>
      </c>
      <c r="I270">
        <v>155.4</v>
      </c>
      <c r="J270">
        <v>202</v>
      </c>
      <c r="K270">
        <v>150.80000000000001</v>
      </c>
      <c r="L270">
        <v>118.9</v>
      </c>
      <c r="M270">
        <v>160.9</v>
      </c>
      <c r="N270">
        <v>137.69999999999999</v>
      </c>
      <c r="O270">
        <v>164.4</v>
      </c>
      <c r="P270">
        <v>161.30000000000001</v>
      </c>
      <c r="Q270">
        <v>188.7</v>
      </c>
      <c r="R270">
        <v>150.19999999999999</v>
      </c>
      <c r="S270">
        <v>136.30000000000001</v>
      </c>
      <c r="T270">
        <v>148.1</v>
      </c>
      <c r="U270">
        <v>156.30000000000001</v>
      </c>
      <c r="V270">
        <v>137.19999999999999</v>
      </c>
      <c r="W270">
        <v>145.4</v>
      </c>
      <c r="X270">
        <v>150</v>
      </c>
      <c r="Y270">
        <v>135.1</v>
      </c>
      <c r="Z270">
        <v>141.80000000000001</v>
      </c>
      <c r="AA270">
        <v>154.9</v>
      </c>
      <c r="AB270">
        <v>159.80000000000001</v>
      </c>
      <c r="AC270">
        <v>146</v>
      </c>
      <c r="AF270">
        <v>154</v>
      </c>
    </row>
    <row r="271" spans="1:32" x14ac:dyDescent="0.3">
      <c r="A271" t="s">
        <v>54</v>
      </c>
      <c r="B271">
        <v>2020</v>
      </c>
      <c r="C271" t="s">
        <v>62</v>
      </c>
      <c r="D271">
        <v>148.4</v>
      </c>
      <c r="E271">
        <v>187.1</v>
      </c>
      <c r="F271">
        <v>152.5</v>
      </c>
      <c r="G271">
        <v>153.6</v>
      </c>
      <c r="H271">
        <v>138.19999999999999</v>
      </c>
      <c r="I271">
        <v>150.9</v>
      </c>
      <c r="J271">
        <v>186.7</v>
      </c>
      <c r="K271">
        <v>149.80000000000001</v>
      </c>
      <c r="L271">
        <v>116.4</v>
      </c>
      <c r="M271">
        <v>160.30000000000001</v>
      </c>
      <c r="N271">
        <v>142.19999999999999</v>
      </c>
      <c r="O271">
        <v>162.9</v>
      </c>
      <c r="P271">
        <v>158</v>
      </c>
      <c r="Q271">
        <v>184.4</v>
      </c>
      <c r="R271">
        <v>153.4</v>
      </c>
      <c r="S271">
        <v>144.30000000000001</v>
      </c>
      <c r="T271">
        <v>152</v>
      </c>
      <c r="U271">
        <v>156.30000000000001</v>
      </c>
      <c r="V271">
        <v>142.9</v>
      </c>
      <c r="W271">
        <v>148.69999999999999</v>
      </c>
      <c r="X271">
        <v>155.6</v>
      </c>
      <c r="Y271">
        <v>139.6</v>
      </c>
      <c r="Z271">
        <v>146.6</v>
      </c>
      <c r="AA271">
        <v>157.5</v>
      </c>
      <c r="AB271">
        <v>158.4</v>
      </c>
      <c r="AC271">
        <v>150</v>
      </c>
      <c r="AD271" t="str">
        <f>C271 &amp; " "  &amp; B271</f>
        <v>September 2020</v>
      </c>
      <c r="AE271" s="3">
        <f>(AF271-AF235)/AF235</f>
        <v>7.2815533980582534E-2</v>
      </c>
      <c r="AF271">
        <v>154.69999999999999</v>
      </c>
    </row>
    <row r="272" spans="1:32" hidden="1" x14ac:dyDescent="0.3">
      <c r="A272" t="s">
        <v>50</v>
      </c>
      <c r="B272">
        <v>2020</v>
      </c>
      <c r="C272" t="s">
        <v>63</v>
      </c>
      <c r="D272">
        <v>146</v>
      </c>
      <c r="E272">
        <v>186.3</v>
      </c>
      <c r="F272">
        <v>159.19999999999999</v>
      </c>
      <c r="G272">
        <v>153.6</v>
      </c>
      <c r="H272">
        <v>142.6</v>
      </c>
      <c r="I272">
        <v>147.19999999999999</v>
      </c>
      <c r="J272">
        <v>200.6</v>
      </c>
      <c r="K272">
        <v>150.30000000000001</v>
      </c>
      <c r="L272">
        <v>115.3</v>
      </c>
      <c r="M272">
        <v>160.9</v>
      </c>
      <c r="N272">
        <v>147.4</v>
      </c>
      <c r="O272">
        <v>161.9</v>
      </c>
      <c r="P272">
        <v>159.6</v>
      </c>
      <c r="Q272">
        <v>182.7</v>
      </c>
      <c r="R272">
        <v>155.69999999999999</v>
      </c>
      <c r="S272">
        <v>150.6</v>
      </c>
      <c r="T272">
        <v>155</v>
      </c>
      <c r="U272">
        <f>AVERAGE(U270:U271)</f>
        <v>156.30000000000001</v>
      </c>
      <c r="V272">
        <v>146.80000000000001</v>
      </c>
      <c r="W272">
        <v>152</v>
      </c>
      <c r="X272">
        <v>159.5</v>
      </c>
      <c r="Y272">
        <v>146.4</v>
      </c>
      <c r="Z272">
        <v>152.4</v>
      </c>
      <c r="AA272">
        <v>162.5</v>
      </c>
      <c r="AB272">
        <v>156.19999999999999</v>
      </c>
      <c r="AC272">
        <v>154.30000000000001</v>
      </c>
      <c r="AF272">
        <v>157.5</v>
      </c>
    </row>
    <row r="273" spans="1:32" hidden="1" x14ac:dyDescent="0.3">
      <c r="A273" t="s">
        <v>53</v>
      </c>
      <c r="B273">
        <v>2020</v>
      </c>
      <c r="C273" t="s">
        <v>63</v>
      </c>
      <c r="D273">
        <v>150.6</v>
      </c>
      <c r="E273">
        <v>193.7</v>
      </c>
      <c r="F273">
        <v>164.8</v>
      </c>
      <c r="G273">
        <v>153.69999999999999</v>
      </c>
      <c r="H273">
        <v>135.69999999999999</v>
      </c>
      <c r="I273">
        <v>155.69999999999999</v>
      </c>
      <c r="J273">
        <v>226</v>
      </c>
      <c r="K273">
        <v>152.19999999999999</v>
      </c>
      <c r="L273">
        <v>118.1</v>
      </c>
      <c r="M273">
        <v>161.30000000000001</v>
      </c>
      <c r="N273">
        <v>139.19999999999999</v>
      </c>
      <c r="O273">
        <v>164.8</v>
      </c>
      <c r="P273">
        <v>164.4</v>
      </c>
      <c r="Q273">
        <v>188.7</v>
      </c>
      <c r="R273">
        <v>150.5</v>
      </c>
      <c r="S273">
        <v>136.1</v>
      </c>
      <c r="T273">
        <v>148.30000000000001</v>
      </c>
      <c r="U273">
        <v>156.5</v>
      </c>
      <c r="V273">
        <v>137.1</v>
      </c>
      <c r="W273">
        <v>145.1</v>
      </c>
      <c r="X273">
        <v>151</v>
      </c>
      <c r="Y273">
        <v>135.4</v>
      </c>
      <c r="Z273">
        <v>142</v>
      </c>
      <c r="AA273">
        <v>155.69999999999999</v>
      </c>
      <c r="AB273">
        <v>158.1</v>
      </c>
      <c r="AC273">
        <v>146.19999999999999</v>
      </c>
      <c r="AF273">
        <v>155.19999999999999</v>
      </c>
    </row>
    <row r="274" spans="1:32" x14ac:dyDescent="0.3">
      <c r="A274" t="s">
        <v>54</v>
      </c>
      <c r="B274">
        <v>2020</v>
      </c>
      <c r="C274" t="s">
        <v>63</v>
      </c>
      <c r="D274">
        <v>147.5</v>
      </c>
      <c r="E274">
        <v>188.9</v>
      </c>
      <c r="F274">
        <v>161.4</v>
      </c>
      <c r="G274">
        <v>153.6</v>
      </c>
      <c r="H274">
        <v>140.1</v>
      </c>
      <c r="I274">
        <v>151.19999999999999</v>
      </c>
      <c r="J274">
        <v>209.2</v>
      </c>
      <c r="K274">
        <v>150.9</v>
      </c>
      <c r="L274">
        <v>116.2</v>
      </c>
      <c r="M274">
        <v>161</v>
      </c>
      <c r="N274">
        <v>144</v>
      </c>
      <c r="O274">
        <v>163.19999999999999</v>
      </c>
      <c r="P274">
        <v>161.4</v>
      </c>
      <c r="Q274">
        <v>184.3</v>
      </c>
      <c r="R274">
        <v>153.69999999999999</v>
      </c>
      <c r="S274">
        <v>144.6</v>
      </c>
      <c r="T274">
        <v>152.30000000000001</v>
      </c>
      <c r="U274">
        <v>156.5</v>
      </c>
      <c r="V274">
        <v>143.1</v>
      </c>
      <c r="W274">
        <v>148.69999999999999</v>
      </c>
      <c r="X274">
        <v>156.30000000000001</v>
      </c>
      <c r="Y274">
        <v>140.6</v>
      </c>
      <c r="Z274">
        <v>146.5</v>
      </c>
      <c r="AA274">
        <v>158.5</v>
      </c>
      <c r="AB274">
        <v>157</v>
      </c>
      <c r="AC274">
        <v>150.4</v>
      </c>
      <c r="AD274" t="str">
        <f>C274 &amp; " "  &amp; B274</f>
        <v>October 2020</v>
      </c>
      <c r="AE274" s="3">
        <f>(AF274-AF238)/AF238</f>
        <v>7.8620689655172452E-2</v>
      </c>
      <c r="AF274">
        <v>156.4</v>
      </c>
    </row>
    <row r="275" spans="1:32" hidden="1" x14ac:dyDescent="0.3">
      <c r="A275" t="s">
        <v>50</v>
      </c>
      <c r="B275">
        <v>2020</v>
      </c>
      <c r="C275" t="s">
        <v>65</v>
      </c>
      <c r="D275">
        <v>145.4</v>
      </c>
      <c r="E275">
        <v>188.6</v>
      </c>
      <c r="F275">
        <v>171.6</v>
      </c>
      <c r="G275">
        <v>153.80000000000001</v>
      </c>
      <c r="H275">
        <v>145.4</v>
      </c>
      <c r="I275">
        <v>146.5</v>
      </c>
      <c r="J275">
        <v>222.2</v>
      </c>
      <c r="K275">
        <v>155.9</v>
      </c>
      <c r="L275">
        <v>114.9</v>
      </c>
      <c r="M275">
        <v>162</v>
      </c>
      <c r="N275">
        <v>150</v>
      </c>
      <c r="O275">
        <v>162.69999999999999</v>
      </c>
      <c r="P275">
        <v>163.4</v>
      </c>
      <c r="Q275">
        <v>183.4</v>
      </c>
      <c r="R275">
        <v>156.30000000000001</v>
      </c>
      <c r="S275">
        <v>151</v>
      </c>
      <c r="T275">
        <v>155.5</v>
      </c>
      <c r="U275">
        <f>AVERAGE(U273:U274)</f>
        <v>156.5</v>
      </c>
      <c r="V275">
        <v>147.5</v>
      </c>
      <c r="W275">
        <v>152.80000000000001</v>
      </c>
      <c r="X275">
        <v>160.4</v>
      </c>
      <c r="Y275">
        <v>146.1</v>
      </c>
      <c r="Z275">
        <v>153.6</v>
      </c>
      <c r="AA275">
        <v>161.6</v>
      </c>
      <c r="AB275">
        <v>156.19999999999999</v>
      </c>
      <c r="AC275">
        <v>154.5</v>
      </c>
      <c r="AF275">
        <v>159.80000000000001</v>
      </c>
    </row>
    <row r="276" spans="1:32" hidden="1" x14ac:dyDescent="0.3">
      <c r="A276" t="s">
        <v>53</v>
      </c>
      <c r="B276">
        <v>2020</v>
      </c>
      <c r="C276" t="s">
        <v>65</v>
      </c>
      <c r="D276">
        <v>149.69999999999999</v>
      </c>
      <c r="E276">
        <v>195.5</v>
      </c>
      <c r="F276">
        <v>176.9</v>
      </c>
      <c r="G276">
        <v>153.9</v>
      </c>
      <c r="H276">
        <v>138</v>
      </c>
      <c r="I276">
        <v>150.5</v>
      </c>
      <c r="J276">
        <v>245.3</v>
      </c>
      <c r="K276">
        <v>158.69999999999999</v>
      </c>
      <c r="L276">
        <v>117.2</v>
      </c>
      <c r="M276">
        <v>161.4</v>
      </c>
      <c r="N276">
        <v>141.5</v>
      </c>
      <c r="O276">
        <v>165.1</v>
      </c>
      <c r="P276">
        <v>167</v>
      </c>
      <c r="Q276">
        <v>188.8</v>
      </c>
      <c r="R276">
        <v>151.1</v>
      </c>
      <c r="S276">
        <v>136.4</v>
      </c>
      <c r="T276">
        <v>148.80000000000001</v>
      </c>
      <c r="U276">
        <v>158</v>
      </c>
      <c r="V276">
        <v>137.30000000000001</v>
      </c>
      <c r="W276">
        <v>145.1</v>
      </c>
      <c r="X276">
        <v>152</v>
      </c>
      <c r="Y276">
        <v>135.19999999999999</v>
      </c>
      <c r="Z276">
        <v>144.4</v>
      </c>
      <c r="AA276">
        <v>156.4</v>
      </c>
      <c r="AB276">
        <v>157.9</v>
      </c>
      <c r="AC276">
        <v>146.6</v>
      </c>
      <c r="AF276">
        <v>156.69999999999999</v>
      </c>
    </row>
    <row r="277" spans="1:32" x14ac:dyDescent="0.3">
      <c r="A277" t="s">
        <v>54</v>
      </c>
      <c r="B277">
        <v>2020</v>
      </c>
      <c r="C277" t="s">
        <v>65</v>
      </c>
      <c r="D277">
        <v>146.80000000000001</v>
      </c>
      <c r="E277">
        <v>191</v>
      </c>
      <c r="F277">
        <v>173.6</v>
      </c>
      <c r="G277">
        <v>153.80000000000001</v>
      </c>
      <c r="H277">
        <v>142.69999999999999</v>
      </c>
      <c r="I277">
        <v>148.4</v>
      </c>
      <c r="J277">
        <v>230</v>
      </c>
      <c r="K277">
        <v>156.80000000000001</v>
      </c>
      <c r="L277">
        <v>115.7</v>
      </c>
      <c r="M277">
        <v>161.80000000000001</v>
      </c>
      <c r="N277">
        <v>146.5</v>
      </c>
      <c r="O277">
        <v>163.80000000000001</v>
      </c>
      <c r="P277">
        <v>164.7</v>
      </c>
      <c r="Q277">
        <v>184.8</v>
      </c>
      <c r="R277">
        <v>154.30000000000001</v>
      </c>
      <c r="S277">
        <v>144.9</v>
      </c>
      <c r="T277">
        <v>152.80000000000001</v>
      </c>
      <c r="U277">
        <v>158</v>
      </c>
      <c r="V277">
        <v>143.6</v>
      </c>
      <c r="W277">
        <v>149.19999999999999</v>
      </c>
      <c r="X277">
        <v>157.19999999999999</v>
      </c>
      <c r="Y277">
        <v>140.4</v>
      </c>
      <c r="Z277">
        <v>148.4</v>
      </c>
      <c r="AA277">
        <v>158.6</v>
      </c>
      <c r="AB277">
        <v>156.9</v>
      </c>
      <c r="AC277">
        <v>150.69999999999999</v>
      </c>
      <c r="AD277" t="str">
        <f>C277 &amp; " "  &amp; B277</f>
        <v>November 2020</v>
      </c>
      <c r="AE277" s="3">
        <f>(AF277-AF241)/AF241</f>
        <v>8.6419753086419707E-2</v>
      </c>
      <c r="AF277">
        <v>158.4</v>
      </c>
    </row>
    <row r="278" spans="1:32" hidden="1" x14ac:dyDescent="0.3">
      <c r="A278" t="s">
        <v>50</v>
      </c>
      <c r="B278">
        <v>2020</v>
      </c>
      <c r="C278" t="s">
        <v>66</v>
      </c>
      <c r="D278">
        <v>144.6</v>
      </c>
      <c r="E278">
        <v>188.5</v>
      </c>
      <c r="F278">
        <v>173.4</v>
      </c>
      <c r="G278">
        <v>154</v>
      </c>
      <c r="H278">
        <v>150</v>
      </c>
      <c r="I278">
        <v>145.9</v>
      </c>
      <c r="J278">
        <v>225.2</v>
      </c>
      <c r="K278">
        <v>159.5</v>
      </c>
      <c r="L278">
        <v>114.4</v>
      </c>
      <c r="M278">
        <v>163.5</v>
      </c>
      <c r="N278">
        <v>153.4</v>
      </c>
      <c r="O278">
        <v>163.6</v>
      </c>
      <c r="P278">
        <v>164.5</v>
      </c>
      <c r="Q278">
        <v>183.6</v>
      </c>
      <c r="R278">
        <v>157</v>
      </c>
      <c r="S278">
        <v>151.6</v>
      </c>
      <c r="T278">
        <v>156.30000000000001</v>
      </c>
      <c r="U278">
        <f>AVERAGE(U276:U277)</f>
        <v>158</v>
      </c>
      <c r="V278">
        <v>148.69999999999999</v>
      </c>
      <c r="W278">
        <v>153.4</v>
      </c>
      <c r="X278">
        <v>161.6</v>
      </c>
      <c r="Y278">
        <v>146.4</v>
      </c>
      <c r="Z278">
        <v>153.9</v>
      </c>
      <c r="AA278">
        <v>162.9</v>
      </c>
      <c r="AB278">
        <v>156.6</v>
      </c>
      <c r="AC278">
        <v>155.19999999999999</v>
      </c>
      <c r="AF278">
        <v>160.69999999999999</v>
      </c>
    </row>
    <row r="279" spans="1:32" hidden="1" x14ac:dyDescent="0.3">
      <c r="A279" t="s">
        <v>53</v>
      </c>
      <c r="B279">
        <v>2020</v>
      </c>
      <c r="C279" t="s">
        <v>66</v>
      </c>
      <c r="D279">
        <v>149</v>
      </c>
      <c r="E279">
        <v>195.7</v>
      </c>
      <c r="F279">
        <v>178.3</v>
      </c>
      <c r="G279">
        <v>154.19999999999999</v>
      </c>
      <c r="H279">
        <v>140.69999999999999</v>
      </c>
      <c r="I279">
        <v>149.69999999999999</v>
      </c>
      <c r="J279">
        <v>240.9</v>
      </c>
      <c r="K279">
        <v>161.5</v>
      </c>
      <c r="L279">
        <v>117.1</v>
      </c>
      <c r="M279">
        <v>161.9</v>
      </c>
      <c r="N279">
        <v>143.30000000000001</v>
      </c>
      <c r="O279">
        <v>166.1</v>
      </c>
      <c r="P279">
        <v>167</v>
      </c>
      <c r="Q279">
        <v>190.2</v>
      </c>
      <c r="R279">
        <v>151.9</v>
      </c>
      <c r="S279">
        <v>136.69999999999999</v>
      </c>
      <c r="T279">
        <v>149.6</v>
      </c>
      <c r="U279">
        <v>158.4</v>
      </c>
      <c r="V279">
        <v>137.9</v>
      </c>
      <c r="W279">
        <v>145.5</v>
      </c>
      <c r="X279">
        <v>152.9</v>
      </c>
      <c r="Y279">
        <v>135.5</v>
      </c>
      <c r="Z279">
        <v>144.30000000000001</v>
      </c>
      <c r="AA279">
        <v>156.9</v>
      </c>
      <c r="AB279">
        <v>157.9</v>
      </c>
      <c r="AC279">
        <v>146.9</v>
      </c>
      <c r="AF279">
        <v>156.9</v>
      </c>
    </row>
    <row r="280" spans="1:32" x14ac:dyDescent="0.3">
      <c r="A280" t="s">
        <v>54</v>
      </c>
      <c r="B280">
        <v>2020</v>
      </c>
      <c r="C280" t="s">
        <v>66</v>
      </c>
      <c r="D280">
        <v>146</v>
      </c>
      <c r="E280">
        <v>191</v>
      </c>
      <c r="F280">
        <v>175.3</v>
      </c>
      <c r="G280">
        <v>154.1</v>
      </c>
      <c r="H280">
        <v>146.6</v>
      </c>
      <c r="I280">
        <v>147.69999999999999</v>
      </c>
      <c r="J280">
        <v>230.5</v>
      </c>
      <c r="K280">
        <v>160.19999999999999</v>
      </c>
      <c r="L280">
        <v>115.3</v>
      </c>
      <c r="M280">
        <v>163</v>
      </c>
      <c r="N280">
        <v>149.19999999999999</v>
      </c>
      <c r="O280">
        <v>164.8</v>
      </c>
      <c r="P280">
        <v>165.4</v>
      </c>
      <c r="Q280">
        <v>185.4</v>
      </c>
      <c r="R280">
        <v>155</v>
      </c>
      <c r="S280">
        <v>145.4</v>
      </c>
      <c r="T280">
        <v>153.6</v>
      </c>
      <c r="U280">
        <v>158.4</v>
      </c>
      <c r="V280">
        <v>144.6</v>
      </c>
      <c r="W280">
        <v>149.69999999999999</v>
      </c>
      <c r="X280">
        <v>158.30000000000001</v>
      </c>
      <c r="Y280">
        <v>140.69999999999999</v>
      </c>
      <c r="Z280">
        <v>148.5</v>
      </c>
      <c r="AA280">
        <v>159.4</v>
      </c>
      <c r="AB280">
        <v>157.1</v>
      </c>
      <c r="AC280">
        <v>151.19999999999999</v>
      </c>
      <c r="AD280" t="str">
        <f>C280 &amp; " "  &amp; B280</f>
        <v>December 2020</v>
      </c>
      <c r="AE280" s="3">
        <f>(AF280-AF244)/AF244</f>
        <v>7.948369565217403E-2</v>
      </c>
      <c r="AF280">
        <v>158.9</v>
      </c>
    </row>
    <row r="281" spans="1:32" hidden="1" x14ac:dyDescent="0.3">
      <c r="A281" t="s">
        <v>50</v>
      </c>
      <c r="B281">
        <v>2021</v>
      </c>
      <c r="C281" t="s">
        <v>51</v>
      </c>
      <c r="D281">
        <v>143.4</v>
      </c>
      <c r="E281">
        <v>187.5</v>
      </c>
      <c r="F281">
        <v>173.4</v>
      </c>
      <c r="G281">
        <v>154</v>
      </c>
      <c r="H281">
        <v>154.80000000000001</v>
      </c>
      <c r="I281">
        <v>147</v>
      </c>
      <c r="J281">
        <v>187.8</v>
      </c>
      <c r="K281">
        <v>159.5</v>
      </c>
      <c r="L281">
        <v>113.8</v>
      </c>
      <c r="M281">
        <v>164.5</v>
      </c>
      <c r="N281">
        <v>156.1</v>
      </c>
      <c r="O281">
        <v>164.3</v>
      </c>
      <c r="P281">
        <v>159.6</v>
      </c>
      <c r="Q281">
        <v>184.6</v>
      </c>
      <c r="R281">
        <v>157.5</v>
      </c>
      <c r="S281">
        <v>152.4</v>
      </c>
      <c r="T281">
        <v>156.80000000000001</v>
      </c>
      <c r="U281">
        <f>AVERAGE(U279:U280)</f>
        <v>158.4</v>
      </c>
      <c r="V281">
        <v>150.9</v>
      </c>
      <c r="W281">
        <v>153.9</v>
      </c>
      <c r="X281">
        <v>162.5</v>
      </c>
      <c r="Y281">
        <v>147.5</v>
      </c>
      <c r="Z281">
        <v>155.1</v>
      </c>
      <c r="AA281">
        <v>163.5</v>
      </c>
      <c r="AB281">
        <v>156.19999999999999</v>
      </c>
      <c r="AC281">
        <v>155.9</v>
      </c>
      <c r="AF281">
        <v>158.5</v>
      </c>
    </row>
    <row r="282" spans="1:32" hidden="1" x14ac:dyDescent="0.3">
      <c r="A282" t="s">
        <v>53</v>
      </c>
      <c r="B282">
        <v>2021</v>
      </c>
      <c r="C282" t="s">
        <v>51</v>
      </c>
      <c r="D282">
        <v>148</v>
      </c>
      <c r="E282">
        <v>194.8</v>
      </c>
      <c r="F282">
        <v>178.4</v>
      </c>
      <c r="G282">
        <v>154.4</v>
      </c>
      <c r="H282">
        <v>144.1</v>
      </c>
      <c r="I282">
        <v>152.6</v>
      </c>
      <c r="J282">
        <v>206.8</v>
      </c>
      <c r="K282">
        <v>162.1</v>
      </c>
      <c r="L282">
        <v>116.3</v>
      </c>
      <c r="M282">
        <v>163</v>
      </c>
      <c r="N282">
        <v>145.9</v>
      </c>
      <c r="O282">
        <v>167.2</v>
      </c>
      <c r="P282">
        <v>163.4</v>
      </c>
      <c r="Q282">
        <v>191.8</v>
      </c>
      <c r="R282">
        <v>152.5</v>
      </c>
      <c r="S282">
        <v>137.30000000000001</v>
      </c>
      <c r="T282">
        <v>150.19999999999999</v>
      </c>
      <c r="U282">
        <v>157.69999999999999</v>
      </c>
      <c r="V282">
        <v>142.9</v>
      </c>
      <c r="W282">
        <v>145.69999999999999</v>
      </c>
      <c r="X282">
        <v>154.1</v>
      </c>
      <c r="Y282">
        <v>136.9</v>
      </c>
      <c r="Z282">
        <v>145.4</v>
      </c>
      <c r="AA282">
        <v>156.1</v>
      </c>
      <c r="AB282">
        <v>157.69999999999999</v>
      </c>
      <c r="AC282">
        <v>147.6</v>
      </c>
      <c r="AF282">
        <v>156</v>
      </c>
    </row>
    <row r="283" spans="1:32" x14ac:dyDescent="0.3">
      <c r="A283" t="s">
        <v>54</v>
      </c>
      <c r="B283">
        <v>2021</v>
      </c>
      <c r="C283" t="s">
        <v>51</v>
      </c>
      <c r="D283">
        <v>144.9</v>
      </c>
      <c r="E283">
        <v>190.1</v>
      </c>
      <c r="F283">
        <v>175.3</v>
      </c>
      <c r="G283">
        <v>154.1</v>
      </c>
      <c r="H283">
        <v>150.9</v>
      </c>
      <c r="I283">
        <v>149.6</v>
      </c>
      <c r="J283">
        <v>194.2</v>
      </c>
      <c r="K283">
        <v>160.4</v>
      </c>
      <c r="L283">
        <v>114.6</v>
      </c>
      <c r="M283">
        <v>164</v>
      </c>
      <c r="N283">
        <v>151.80000000000001</v>
      </c>
      <c r="O283">
        <v>165.6</v>
      </c>
      <c r="P283">
        <v>161</v>
      </c>
      <c r="Q283">
        <v>186.5</v>
      </c>
      <c r="R283">
        <v>155.5</v>
      </c>
      <c r="S283">
        <v>146.1</v>
      </c>
      <c r="T283">
        <v>154.19999999999999</v>
      </c>
      <c r="U283">
        <v>157.69999999999999</v>
      </c>
      <c r="V283">
        <v>147.9</v>
      </c>
      <c r="W283">
        <v>150</v>
      </c>
      <c r="X283">
        <v>159.30000000000001</v>
      </c>
      <c r="Y283">
        <v>141.9</v>
      </c>
      <c r="Z283">
        <v>149.6</v>
      </c>
      <c r="AA283">
        <v>159.19999999999999</v>
      </c>
      <c r="AB283">
        <v>156.80000000000001</v>
      </c>
      <c r="AC283">
        <v>151.9</v>
      </c>
      <c r="AD283" t="str">
        <f>C283 &amp; " "  &amp; B283</f>
        <v>January 2021</v>
      </c>
      <c r="AE283" s="3">
        <f>(AF283-AF247)/AF247</f>
        <v>5.8546433378196615E-2</v>
      </c>
      <c r="AF283">
        <v>157.30000000000001</v>
      </c>
    </row>
    <row r="284" spans="1:32" hidden="1" x14ac:dyDescent="0.3">
      <c r="A284" t="s">
        <v>50</v>
      </c>
      <c r="B284">
        <v>2021</v>
      </c>
      <c r="C284" t="s">
        <v>55</v>
      </c>
      <c r="D284">
        <v>142.80000000000001</v>
      </c>
      <c r="E284">
        <v>184</v>
      </c>
      <c r="F284">
        <v>168</v>
      </c>
      <c r="G284">
        <v>154.4</v>
      </c>
      <c r="H284">
        <v>163</v>
      </c>
      <c r="I284">
        <v>147.80000000000001</v>
      </c>
      <c r="J284">
        <v>149.69999999999999</v>
      </c>
      <c r="K284">
        <v>158.30000000000001</v>
      </c>
      <c r="L284">
        <v>111.8</v>
      </c>
      <c r="M284">
        <v>165</v>
      </c>
      <c r="N284">
        <v>160</v>
      </c>
      <c r="O284">
        <v>165.8</v>
      </c>
      <c r="P284">
        <v>154.69999999999999</v>
      </c>
      <c r="Q284">
        <v>186.5</v>
      </c>
      <c r="R284">
        <v>159.1</v>
      </c>
      <c r="S284">
        <v>153.9</v>
      </c>
      <c r="T284">
        <v>158.4</v>
      </c>
      <c r="U284">
        <f>AVERAGE(U282:U283)</f>
        <v>157.69999999999999</v>
      </c>
      <c r="V284">
        <v>154.4</v>
      </c>
      <c r="W284">
        <v>154.80000000000001</v>
      </c>
      <c r="X284">
        <v>164.3</v>
      </c>
      <c r="Y284">
        <v>150.19999999999999</v>
      </c>
      <c r="Z284">
        <v>157</v>
      </c>
      <c r="AA284">
        <v>163.6</v>
      </c>
      <c r="AB284">
        <v>155.19999999999999</v>
      </c>
      <c r="AC284">
        <v>157.19999999999999</v>
      </c>
      <c r="AF284">
        <v>156.69999999999999</v>
      </c>
    </row>
    <row r="285" spans="1:32" hidden="1" x14ac:dyDescent="0.3">
      <c r="A285" t="s">
        <v>53</v>
      </c>
      <c r="B285">
        <v>2021</v>
      </c>
      <c r="C285" t="s">
        <v>55</v>
      </c>
      <c r="D285">
        <v>147.6</v>
      </c>
      <c r="E285">
        <v>191.2</v>
      </c>
      <c r="F285">
        <v>169.9</v>
      </c>
      <c r="G285">
        <v>155.1</v>
      </c>
      <c r="H285">
        <v>151.4</v>
      </c>
      <c r="I285">
        <v>154</v>
      </c>
      <c r="J285">
        <v>180.2</v>
      </c>
      <c r="K285">
        <v>159.80000000000001</v>
      </c>
      <c r="L285">
        <v>114.9</v>
      </c>
      <c r="M285">
        <v>162.5</v>
      </c>
      <c r="N285">
        <v>149.19999999999999</v>
      </c>
      <c r="O285">
        <v>169.4</v>
      </c>
      <c r="P285">
        <v>160.80000000000001</v>
      </c>
      <c r="Q285">
        <v>193.3</v>
      </c>
      <c r="R285">
        <v>154.19999999999999</v>
      </c>
      <c r="S285">
        <v>138.19999999999999</v>
      </c>
      <c r="T285">
        <v>151.80000000000001</v>
      </c>
      <c r="U285">
        <v>159.80000000000001</v>
      </c>
      <c r="V285">
        <v>149.1</v>
      </c>
      <c r="W285">
        <v>146.5</v>
      </c>
      <c r="X285">
        <v>156.30000000000001</v>
      </c>
      <c r="Y285">
        <v>140.5</v>
      </c>
      <c r="Z285">
        <v>147.30000000000001</v>
      </c>
      <c r="AA285">
        <v>156.6</v>
      </c>
      <c r="AB285">
        <v>156.69999999999999</v>
      </c>
      <c r="AC285">
        <v>149.30000000000001</v>
      </c>
      <c r="AF285">
        <v>156.5</v>
      </c>
    </row>
    <row r="286" spans="1:32" x14ac:dyDescent="0.3">
      <c r="A286" t="s">
        <v>54</v>
      </c>
      <c r="B286">
        <v>2021</v>
      </c>
      <c r="C286" t="s">
        <v>55</v>
      </c>
      <c r="D286">
        <v>144.30000000000001</v>
      </c>
      <c r="E286">
        <v>186.5</v>
      </c>
      <c r="F286">
        <v>168.7</v>
      </c>
      <c r="G286">
        <v>154.69999999999999</v>
      </c>
      <c r="H286">
        <v>158.69999999999999</v>
      </c>
      <c r="I286">
        <v>150.69999999999999</v>
      </c>
      <c r="J286">
        <v>160</v>
      </c>
      <c r="K286">
        <v>158.80000000000001</v>
      </c>
      <c r="L286">
        <v>112.8</v>
      </c>
      <c r="M286">
        <v>164.2</v>
      </c>
      <c r="N286">
        <v>155.5</v>
      </c>
      <c r="O286">
        <v>167.5</v>
      </c>
      <c r="P286">
        <v>156.9</v>
      </c>
      <c r="Q286">
        <v>188.3</v>
      </c>
      <c r="R286">
        <v>157.19999999999999</v>
      </c>
      <c r="S286">
        <v>147.4</v>
      </c>
      <c r="T286">
        <v>155.80000000000001</v>
      </c>
      <c r="U286">
        <v>159.80000000000001</v>
      </c>
      <c r="V286">
        <v>152.4</v>
      </c>
      <c r="W286">
        <v>150.9</v>
      </c>
      <c r="X286">
        <v>161.30000000000001</v>
      </c>
      <c r="Y286">
        <v>145.1</v>
      </c>
      <c r="Z286">
        <v>151.5</v>
      </c>
      <c r="AA286">
        <v>159.5</v>
      </c>
      <c r="AB286">
        <v>155.80000000000001</v>
      </c>
      <c r="AC286">
        <v>153.4</v>
      </c>
      <c r="AD286" t="str">
        <f>C286 &amp; " "  &amp; B286</f>
        <v>February 2021</v>
      </c>
      <c r="AE286" s="3">
        <f>(AF286-AF250)/AF250</f>
        <v>4.122340425531907E-2</v>
      </c>
      <c r="AF286">
        <v>156.6</v>
      </c>
    </row>
    <row r="287" spans="1:32" hidden="1" x14ac:dyDescent="0.3">
      <c r="A287" t="s">
        <v>50</v>
      </c>
      <c r="B287">
        <v>2021</v>
      </c>
      <c r="C287" t="s">
        <v>56</v>
      </c>
      <c r="D287">
        <v>142.5</v>
      </c>
      <c r="E287">
        <v>189.4</v>
      </c>
      <c r="F287">
        <v>163.19999999999999</v>
      </c>
      <c r="G287">
        <v>154.5</v>
      </c>
      <c r="H287">
        <v>168.2</v>
      </c>
      <c r="I287">
        <v>150.5</v>
      </c>
      <c r="J287">
        <v>141</v>
      </c>
      <c r="K287">
        <v>159.19999999999999</v>
      </c>
      <c r="L287">
        <v>111.7</v>
      </c>
      <c r="M287">
        <v>164</v>
      </c>
      <c r="N287">
        <v>160.6</v>
      </c>
      <c r="O287">
        <v>166.4</v>
      </c>
      <c r="P287">
        <v>154.5</v>
      </c>
      <c r="Q287">
        <v>186.1</v>
      </c>
      <c r="R287">
        <v>159.6</v>
      </c>
      <c r="S287">
        <v>154.4</v>
      </c>
      <c r="T287">
        <v>158.9</v>
      </c>
      <c r="U287">
        <f>AVERAGE(U285:U286)</f>
        <v>159.80000000000001</v>
      </c>
      <c r="V287">
        <v>156</v>
      </c>
      <c r="W287">
        <v>154.80000000000001</v>
      </c>
      <c r="X287">
        <v>164.6</v>
      </c>
      <c r="Y287">
        <v>151.30000000000001</v>
      </c>
      <c r="Z287">
        <v>157.80000000000001</v>
      </c>
      <c r="AA287">
        <v>163.80000000000001</v>
      </c>
      <c r="AB287">
        <v>153.1</v>
      </c>
      <c r="AC287">
        <v>157.30000000000001</v>
      </c>
      <c r="AF287">
        <v>156.69999999999999</v>
      </c>
    </row>
    <row r="288" spans="1:32" hidden="1" x14ac:dyDescent="0.3">
      <c r="A288" t="s">
        <v>53</v>
      </c>
      <c r="B288">
        <v>2021</v>
      </c>
      <c r="C288" t="s">
        <v>56</v>
      </c>
      <c r="D288">
        <v>147.5</v>
      </c>
      <c r="E288">
        <v>197.5</v>
      </c>
      <c r="F288">
        <v>164.7</v>
      </c>
      <c r="G288">
        <v>155.6</v>
      </c>
      <c r="H288">
        <v>156.4</v>
      </c>
      <c r="I288">
        <v>157.30000000000001</v>
      </c>
      <c r="J288">
        <v>166.1</v>
      </c>
      <c r="K288">
        <v>161.1</v>
      </c>
      <c r="L288">
        <v>114.3</v>
      </c>
      <c r="M288">
        <v>162.6</v>
      </c>
      <c r="N288">
        <v>150.69999999999999</v>
      </c>
      <c r="O288">
        <v>170.3</v>
      </c>
      <c r="P288">
        <v>160.4</v>
      </c>
      <c r="Q288">
        <v>193.5</v>
      </c>
      <c r="R288">
        <v>155.1</v>
      </c>
      <c r="S288">
        <v>138.69999999999999</v>
      </c>
      <c r="T288">
        <v>152.6</v>
      </c>
      <c r="U288">
        <v>159.9</v>
      </c>
      <c r="V288">
        <v>154.80000000000001</v>
      </c>
      <c r="W288">
        <v>147.19999999999999</v>
      </c>
      <c r="X288">
        <v>156.9</v>
      </c>
      <c r="Y288">
        <v>141.69999999999999</v>
      </c>
      <c r="Z288">
        <v>148.6</v>
      </c>
      <c r="AA288">
        <v>157.6</v>
      </c>
      <c r="AB288">
        <v>154.9</v>
      </c>
      <c r="AC288">
        <v>150</v>
      </c>
      <c r="AF288">
        <v>156.9</v>
      </c>
    </row>
    <row r="289" spans="1:32" x14ac:dyDescent="0.3">
      <c r="A289" t="s">
        <v>54</v>
      </c>
      <c r="B289">
        <v>2021</v>
      </c>
      <c r="C289" t="s">
        <v>56</v>
      </c>
      <c r="D289">
        <v>144.1</v>
      </c>
      <c r="E289">
        <v>192.2</v>
      </c>
      <c r="F289">
        <v>163.80000000000001</v>
      </c>
      <c r="G289">
        <v>154.9</v>
      </c>
      <c r="H289">
        <v>163.9</v>
      </c>
      <c r="I289">
        <v>153.69999999999999</v>
      </c>
      <c r="J289">
        <v>149.5</v>
      </c>
      <c r="K289">
        <v>159.80000000000001</v>
      </c>
      <c r="L289">
        <v>112.6</v>
      </c>
      <c r="M289">
        <v>163.5</v>
      </c>
      <c r="N289">
        <v>156.5</v>
      </c>
      <c r="O289">
        <v>168.2</v>
      </c>
      <c r="P289">
        <v>156.69999999999999</v>
      </c>
      <c r="Q289">
        <v>188.1</v>
      </c>
      <c r="R289">
        <v>157.80000000000001</v>
      </c>
      <c r="S289">
        <v>147.9</v>
      </c>
      <c r="T289">
        <v>156.4</v>
      </c>
      <c r="U289">
        <v>159.9</v>
      </c>
      <c r="V289">
        <v>155.5</v>
      </c>
      <c r="W289">
        <v>151.19999999999999</v>
      </c>
      <c r="X289">
        <v>161.69999999999999</v>
      </c>
      <c r="Y289">
        <v>146.19999999999999</v>
      </c>
      <c r="Z289">
        <v>152.6</v>
      </c>
      <c r="AA289">
        <v>160.19999999999999</v>
      </c>
      <c r="AB289">
        <v>153.80000000000001</v>
      </c>
      <c r="AC289">
        <v>153.80000000000001</v>
      </c>
      <c r="AD289" t="str">
        <f>C289 &amp; " "  &amp; B289</f>
        <v>March 2021</v>
      </c>
      <c r="AE289" s="3">
        <f>(AF289-AF253)/AF253</f>
        <v>4.3941411451398293E-2</v>
      </c>
      <c r="AF289">
        <v>156.80000000000001</v>
      </c>
    </row>
    <row r="290" spans="1:32" hidden="1" x14ac:dyDescent="0.3">
      <c r="A290" t="s">
        <v>50</v>
      </c>
      <c r="B290">
        <v>2021</v>
      </c>
      <c r="C290" t="s">
        <v>57</v>
      </c>
      <c r="D290">
        <v>142.69999999999999</v>
      </c>
      <c r="E290">
        <v>195.5</v>
      </c>
      <c r="F290">
        <v>163.4</v>
      </c>
      <c r="G290">
        <v>155</v>
      </c>
      <c r="H290">
        <v>175.2</v>
      </c>
      <c r="I290">
        <v>160.6</v>
      </c>
      <c r="J290">
        <v>135.1</v>
      </c>
      <c r="K290">
        <v>161.1</v>
      </c>
      <c r="L290">
        <v>112.2</v>
      </c>
      <c r="M290">
        <v>164.4</v>
      </c>
      <c r="N290">
        <v>161.9</v>
      </c>
      <c r="O290">
        <v>166.8</v>
      </c>
      <c r="P290">
        <v>155.6</v>
      </c>
      <c r="Q290">
        <v>186.8</v>
      </c>
      <c r="R290">
        <v>160.69999999999999</v>
      </c>
      <c r="S290">
        <v>155.1</v>
      </c>
      <c r="T290">
        <v>159.9</v>
      </c>
      <c r="U290">
        <f>AVERAGE(U288:U289)</f>
        <v>159.9</v>
      </c>
      <c r="V290">
        <v>156</v>
      </c>
      <c r="W290">
        <v>155.5</v>
      </c>
      <c r="X290">
        <v>165.3</v>
      </c>
      <c r="Y290">
        <v>151.69999999999999</v>
      </c>
      <c r="Z290">
        <v>158.6</v>
      </c>
      <c r="AA290">
        <v>164.1</v>
      </c>
      <c r="AB290">
        <v>154.6</v>
      </c>
      <c r="AC290">
        <v>158</v>
      </c>
      <c r="AF290">
        <v>157.6</v>
      </c>
    </row>
    <row r="291" spans="1:32" hidden="1" x14ac:dyDescent="0.3">
      <c r="A291" t="s">
        <v>53</v>
      </c>
      <c r="B291">
        <v>2021</v>
      </c>
      <c r="C291" t="s">
        <v>57</v>
      </c>
      <c r="D291">
        <v>147.6</v>
      </c>
      <c r="E291">
        <v>202.5</v>
      </c>
      <c r="F291">
        <v>166.4</v>
      </c>
      <c r="G291">
        <v>156</v>
      </c>
      <c r="H291">
        <v>161.4</v>
      </c>
      <c r="I291">
        <v>168.8</v>
      </c>
      <c r="J291">
        <v>161.6</v>
      </c>
      <c r="K291">
        <v>162.80000000000001</v>
      </c>
      <c r="L291">
        <v>114.8</v>
      </c>
      <c r="M291">
        <v>162.80000000000001</v>
      </c>
      <c r="N291">
        <v>151.5</v>
      </c>
      <c r="O291">
        <v>171.4</v>
      </c>
      <c r="P291">
        <v>162</v>
      </c>
      <c r="Q291">
        <v>194.4</v>
      </c>
      <c r="R291">
        <v>155.9</v>
      </c>
      <c r="S291">
        <v>139.30000000000001</v>
      </c>
      <c r="T291">
        <v>153.4</v>
      </c>
      <c r="U291">
        <v>161.4</v>
      </c>
      <c r="V291">
        <v>154.9</v>
      </c>
      <c r="W291">
        <v>147.6</v>
      </c>
      <c r="X291">
        <v>157.5</v>
      </c>
      <c r="Y291">
        <v>142.1</v>
      </c>
      <c r="Z291">
        <v>149.1</v>
      </c>
      <c r="AA291">
        <v>157.6</v>
      </c>
      <c r="AB291">
        <v>156.6</v>
      </c>
      <c r="AC291">
        <v>150.5</v>
      </c>
      <c r="AF291">
        <v>158</v>
      </c>
    </row>
    <row r="292" spans="1:32" x14ac:dyDescent="0.3">
      <c r="A292" t="s">
        <v>54</v>
      </c>
      <c r="B292">
        <v>2021</v>
      </c>
      <c r="C292" t="s">
        <v>57</v>
      </c>
      <c r="D292">
        <v>144.30000000000001</v>
      </c>
      <c r="E292">
        <v>198</v>
      </c>
      <c r="F292">
        <v>164.6</v>
      </c>
      <c r="G292">
        <v>155.4</v>
      </c>
      <c r="H292">
        <v>170.1</v>
      </c>
      <c r="I292">
        <v>164.4</v>
      </c>
      <c r="J292">
        <v>144.1</v>
      </c>
      <c r="K292">
        <v>161.69999999999999</v>
      </c>
      <c r="L292">
        <v>113.1</v>
      </c>
      <c r="M292">
        <v>163.9</v>
      </c>
      <c r="N292">
        <v>157.6</v>
      </c>
      <c r="O292">
        <v>168.9</v>
      </c>
      <c r="P292">
        <v>158</v>
      </c>
      <c r="Q292">
        <v>188.8</v>
      </c>
      <c r="R292">
        <v>158.80000000000001</v>
      </c>
      <c r="S292">
        <v>148.5</v>
      </c>
      <c r="T292">
        <v>157.30000000000001</v>
      </c>
      <c r="U292">
        <v>161.4</v>
      </c>
      <c r="V292">
        <v>155.6</v>
      </c>
      <c r="W292">
        <v>151.80000000000001</v>
      </c>
      <c r="X292">
        <v>162.30000000000001</v>
      </c>
      <c r="Y292">
        <v>146.6</v>
      </c>
      <c r="Z292">
        <v>153.19999999999999</v>
      </c>
      <c r="AA292">
        <v>160.30000000000001</v>
      </c>
      <c r="AB292">
        <v>155.4</v>
      </c>
      <c r="AC292">
        <v>154.4</v>
      </c>
      <c r="AD292" t="str">
        <f>C292 &amp; " "  &amp; B292</f>
        <v>April 2021</v>
      </c>
      <c r="AE292" s="3">
        <f>(AF292-AF256)/AF256</f>
        <v>5.8350100603621849E-2</v>
      </c>
      <c r="AF292">
        <v>157.80000000000001</v>
      </c>
    </row>
    <row r="293" spans="1:32" hidden="1" x14ac:dyDescent="0.3">
      <c r="A293" t="s">
        <v>50</v>
      </c>
      <c r="B293">
        <v>2021</v>
      </c>
      <c r="C293" t="s">
        <v>58</v>
      </c>
      <c r="D293">
        <v>145.1</v>
      </c>
      <c r="E293">
        <v>198.5</v>
      </c>
      <c r="F293">
        <v>168.6</v>
      </c>
      <c r="G293">
        <v>155.80000000000001</v>
      </c>
      <c r="H293">
        <v>184.4</v>
      </c>
      <c r="I293">
        <v>162.30000000000001</v>
      </c>
      <c r="J293">
        <v>138.4</v>
      </c>
      <c r="K293">
        <v>165.1</v>
      </c>
      <c r="L293">
        <v>114.3</v>
      </c>
      <c r="M293">
        <v>169.7</v>
      </c>
      <c r="N293">
        <v>164.6</v>
      </c>
      <c r="O293">
        <v>169.8</v>
      </c>
      <c r="P293">
        <v>158.69999999999999</v>
      </c>
      <c r="Q293">
        <v>189.6</v>
      </c>
      <c r="R293">
        <v>165.3</v>
      </c>
      <c r="S293">
        <v>160.6</v>
      </c>
      <c r="T293">
        <v>164.5</v>
      </c>
      <c r="U293">
        <f>AVERAGE(U291:U292)</f>
        <v>161.4</v>
      </c>
      <c r="V293">
        <v>161.69999999999999</v>
      </c>
      <c r="W293">
        <v>158.80000000000001</v>
      </c>
      <c r="X293">
        <v>169.1</v>
      </c>
      <c r="Y293">
        <v>153.19999999999999</v>
      </c>
      <c r="Z293">
        <v>160</v>
      </c>
      <c r="AA293">
        <v>167.6</v>
      </c>
      <c r="AB293">
        <v>159.30000000000001</v>
      </c>
      <c r="AC293">
        <v>161.1</v>
      </c>
      <c r="AF293">
        <v>161.1</v>
      </c>
    </row>
    <row r="294" spans="1:32" hidden="1" x14ac:dyDescent="0.3">
      <c r="A294" t="s">
        <v>53</v>
      </c>
      <c r="B294">
        <v>2021</v>
      </c>
      <c r="C294" t="s">
        <v>58</v>
      </c>
      <c r="D294">
        <v>148.80000000000001</v>
      </c>
      <c r="E294">
        <v>204.3</v>
      </c>
      <c r="F294">
        <v>173</v>
      </c>
      <c r="G294">
        <v>156.5</v>
      </c>
      <c r="H294">
        <v>168.8</v>
      </c>
      <c r="I294">
        <v>172.5</v>
      </c>
      <c r="J294">
        <v>166.5</v>
      </c>
      <c r="K294">
        <v>165.9</v>
      </c>
      <c r="L294">
        <v>115.9</v>
      </c>
      <c r="M294">
        <v>165.2</v>
      </c>
      <c r="N294">
        <v>152</v>
      </c>
      <c r="O294">
        <v>171.1</v>
      </c>
      <c r="P294">
        <v>164.2</v>
      </c>
      <c r="Q294">
        <v>198.2</v>
      </c>
      <c r="R294">
        <v>156.5</v>
      </c>
      <c r="S294">
        <v>140.19999999999999</v>
      </c>
      <c r="T294">
        <v>154.1</v>
      </c>
      <c r="U294">
        <v>161.6</v>
      </c>
      <c r="V294">
        <v>155.5</v>
      </c>
      <c r="W294">
        <v>150.1</v>
      </c>
      <c r="X294">
        <v>160.4</v>
      </c>
      <c r="Y294">
        <v>145</v>
      </c>
      <c r="Z294">
        <v>152.6</v>
      </c>
      <c r="AA294">
        <v>156.6</v>
      </c>
      <c r="AB294">
        <v>157.5</v>
      </c>
      <c r="AC294">
        <v>152.30000000000001</v>
      </c>
      <c r="AF294">
        <v>159.5</v>
      </c>
    </row>
    <row r="295" spans="1:32" x14ac:dyDescent="0.3">
      <c r="A295" t="s">
        <v>54</v>
      </c>
      <c r="B295">
        <v>2021</v>
      </c>
      <c r="C295" t="s">
        <v>58</v>
      </c>
      <c r="D295">
        <v>146.30000000000001</v>
      </c>
      <c r="E295">
        <v>200.5</v>
      </c>
      <c r="F295">
        <v>170.3</v>
      </c>
      <c r="G295">
        <v>156.1</v>
      </c>
      <c r="H295">
        <v>178.7</v>
      </c>
      <c r="I295">
        <v>167.1</v>
      </c>
      <c r="J295">
        <v>147.9</v>
      </c>
      <c r="K295">
        <v>165.4</v>
      </c>
      <c r="L295">
        <v>114.8</v>
      </c>
      <c r="M295">
        <v>168.2</v>
      </c>
      <c r="N295">
        <v>159.30000000000001</v>
      </c>
      <c r="O295">
        <v>170.4</v>
      </c>
      <c r="P295">
        <v>160.69999999999999</v>
      </c>
      <c r="Q295">
        <v>191.9</v>
      </c>
      <c r="R295">
        <v>161.80000000000001</v>
      </c>
      <c r="S295">
        <v>152.1</v>
      </c>
      <c r="T295">
        <v>160.4</v>
      </c>
      <c r="U295">
        <v>161.6</v>
      </c>
      <c r="V295">
        <v>159.4</v>
      </c>
      <c r="W295">
        <v>154.69999999999999</v>
      </c>
      <c r="X295">
        <v>165.8</v>
      </c>
      <c r="Y295">
        <v>148.9</v>
      </c>
      <c r="Z295">
        <v>155.80000000000001</v>
      </c>
      <c r="AA295">
        <v>161.19999999999999</v>
      </c>
      <c r="AB295">
        <v>158.6</v>
      </c>
      <c r="AC295">
        <v>156.80000000000001</v>
      </c>
      <c r="AD295" t="str">
        <f>C295 &amp; " "  &amp; B295</f>
        <v>May 2021</v>
      </c>
      <c r="AE295" s="3">
        <f>(AF295-AF259)/AF259</f>
        <v>7.9407806191117175E-2</v>
      </c>
      <c r="AF295">
        <v>160.4</v>
      </c>
    </row>
    <row r="296" spans="1:32" hidden="1" x14ac:dyDescent="0.3">
      <c r="A296" t="s">
        <v>50</v>
      </c>
      <c r="B296">
        <v>2021</v>
      </c>
      <c r="C296" t="s">
        <v>59</v>
      </c>
      <c r="D296">
        <v>145.6</v>
      </c>
      <c r="E296">
        <v>200.1</v>
      </c>
      <c r="F296">
        <v>179.3</v>
      </c>
      <c r="G296">
        <v>156.1</v>
      </c>
      <c r="H296">
        <v>190.4</v>
      </c>
      <c r="I296">
        <v>158.6</v>
      </c>
      <c r="J296">
        <v>144.69999999999999</v>
      </c>
      <c r="K296">
        <v>165.5</v>
      </c>
      <c r="L296">
        <v>114.6</v>
      </c>
      <c r="M296">
        <v>170</v>
      </c>
      <c r="N296">
        <v>165.5</v>
      </c>
      <c r="O296">
        <v>171.7</v>
      </c>
      <c r="P296">
        <v>160.5</v>
      </c>
      <c r="Q296">
        <v>189.1</v>
      </c>
      <c r="R296">
        <v>165.3</v>
      </c>
      <c r="S296">
        <v>159.9</v>
      </c>
      <c r="T296">
        <v>164.6</v>
      </c>
      <c r="U296">
        <f>AVERAGE(U294:U295)</f>
        <v>161.6</v>
      </c>
      <c r="V296">
        <v>162.1</v>
      </c>
      <c r="W296">
        <v>159.19999999999999</v>
      </c>
      <c r="X296">
        <v>169.7</v>
      </c>
      <c r="Y296">
        <v>154.19999999999999</v>
      </c>
      <c r="Z296">
        <v>160.4</v>
      </c>
      <c r="AA296">
        <v>166.8</v>
      </c>
      <c r="AB296">
        <v>159.4</v>
      </c>
      <c r="AC296">
        <v>161.5</v>
      </c>
      <c r="AF296">
        <v>162.1</v>
      </c>
    </row>
    <row r="297" spans="1:32" hidden="1" x14ac:dyDescent="0.3">
      <c r="A297" t="s">
        <v>53</v>
      </c>
      <c r="B297">
        <v>2021</v>
      </c>
      <c r="C297" t="s">
        <v>59</v>
      </c>
      <c r="D297">
        <v>149.19999999999999</v>
      </c>
      <c r="E297">
        <v>205.5</v>
      </c>
      <c r="F297">
        <v>182.8</v>
      </c>
      <c r="G297">
        <v>156.5</v>
      </c>
      <c r="H297">
        <v>172.2</v>
      </c>
      <c r="I297">
        <v>171.5</v>
      </c>
      <c r="J297">
        <v>176.2</v>
      </c>
      <c r="K297">
        <v>166.9</v>
      </c>
      <c r="L297">
        <v>116.1</v>
      </c>
      <c r="M297">
        <v>165.5</v>
      </c>
      <c r="N297">
        <v>152.30000000000001</v>
      </c>
      <c r="O297">
        <v>173.3</v>
      </c>
      <c r="P297">
        <v>166.2</v>
      </c>
      <c r="Q297">
        <v>195.6</v>
      </c>
      <c r="R297">
        <v>157.30000000000001</v>
      </c>
      <c r="S297">
        <v>140.5</v>
      </c>
      <c r="T297">
        <v>154.80000000000001</v>
      </c>
      <c r="U297">
        <v>160.5</v>
      </c>
      <c r="V297">
        <v>156.1</v>
      </c>
      <c r="W297">
        <v>149.80000000000001</v>
      </c>
      <c r="X297">
        <v>160.80000000000001</v>
      </c>
      <c r="Y297">
        <v>147.5</v>
      </c>
      <c r="Z297">
        <v>150.69999999999999</v>
      </c>
      <c r="AA297">
        <v>158.1</v>
      </c>
      <c r="AB297">
        <v>158</v>
      </c>
      <c r="AC297">
        <v>153.4</v>
      </c>
      <c r="AF297">
        <v>160.4</v>
      </c>
    </row>
    <row r="298" spans="1:32" x14ac:dyDescent="0.3">
      <c r="A298" t="s">
        <v>54</v>
      </c>
      <c r="B298">
        <v>2021</v>
      </c>
      <c r="C298" t="s">
        <v>59</v>
      </c>
      <c r="D298">
        <v>146.69999999999999</v>
      </c>
      <c r="E298">
        <v>202</v>
      </c>
      <c r="F298">
        <v>180.7</v>
      </c>
      <c r="G298">
        <v>156.19999999999999</v>
      </c>
      <c r="H298">
        <v>183.7</v>
      </c>
      <c r="I298">
        <v>164.6</v>
      </c>
      <c r="J298">
        <v>155.4</v>
      </c>
      <c r="K298">
        <v>166</v>
      </c>
      <c r="L298">
        <v>115.1</v>
      </c>
      <c r="M298">
        <v>168.5</v>
      </c>
      <c r="N298">
        <v>160</v>
      </c>
      <c r="O298">
        <v>172.4</v>
      </c>
      <c r="P298">
        <v>162.6</v>
      </c>
      <c r="Q298">
        <v>190.8</v>
      </c>
      <c r="R298">
        <v>162.19999999999999</v>
      </c>
      <c r="S298">
        <v>151.80000000000001</v>
      </c>
      <c r="T298">
        <v>160.69999999999999</v>
      </c>
      <c r="U298">
        <v>160.5</v>
      </c>
      <c r="V298">
        <v>159.80000000000001</v>
      </c>
      <c r="W298">
        <v>154.80000000000001</v>
      </c>
      <c r="X298">
        <v>166.3</v>
      </c>
      <c r="Y298">
        <v>150.69999999999999</v>
      </c>
      <c r="Z298">
        <v>154.9</v>
      </c>
      <c r="AA298">
        <v>161.69999999999999</v>
      </c>
      <c r="AB298">
        <v>158.80000000000001</v>
      </c>
      <c r="AC298">
        <v>157.6</v>
      </c>
      <c r="AD298" t="str">
        <f>C298 &amp; " "  &amp; B298</f>
        <v>June 2021</v>
      </c>
      <c r="AE298" s="3">
        <f>(AF298-AF262)/AF262</f>
        <v>6.2582345191040833E-2</v>
      </c>
      <c r="AF298">
        <v>161.30000000000001</v>
      </c>
    </row>
    <row r="299" spans="1:32" hidden="1" x14ac:dyDescent="0.3">
      <c r="A299" t="s">
        <v>50</v>
      </c>
      <c r="B299">
        <v>2021</v>
      </c>
      <c r="C299" t="s">
        <v>60</v>
      </c>
      <c r="D299">
        <v>145.1</v>
      </c>
      <c r="E299">
        <v>204.5</v>
      </c>
      <c r="F299">
        <v>180.4</v>
      </c>
      <c r="G299">
        <v>157.1</v>
      </c>
      <c r="H299">
        <v>188.7</v>
      </c>
      <c r="I299">
        <v>157.69999999999999</v>
      </c>
      <c r="J299">
        <v>152.80000000000001</v>
      </c>
      <c r="K299">
        <v>163.6</v>
      </c>
      <c r="L299">
        <v>113.9</v>
      </c>
      <c r="M299">
        <v>169.7</v>
      </c>
      <c r="N299">
        <v>166.2</v>
      </c>
      <c r="O299">
        <v>171</v>
      </c>
      <c r="P299">
        <v>161.69999999999999</v>
      </c>
      <c r="Q299">
        <v>189.7</v>
      </c>
      <c r="R299">
        <v>166</v>
      </c>
      <c r="S299">
        <v>161.1</v>
      </c>
      <c r="T299">
        <v>165.3</v>
      </c>
      <c r="U299">
        <f>AVERAGE(U297:U298)</f>
        <v>160.5</v>
      </c>
      <c r="V299">
        <v>162.5</v>
      </c>
      <c r="W299">
        <v>160.30000000000001</v>
      </c>
      <c r="X299">
        <v>170.4</v>
      </c>
      <c r="Y299">
        <v>157.1</v>
      </c>
      <c r="Z299">
        <v>160.69999999999999</v>
      </c>
      <c r="AA299">
        <v>167.2</v>
      </c>
      <c r="AB299">
        <v>160.4</v>
      </c>
      <c r="AC299">
        <v>162.80000000000001</v>
      </c>
      <c r="AF299">
        <v>163.19999999999999</v>
      </c>
    </row>
    <row r="300" spans="1:32" hidden="1" x14ac:dyDescent="0.3">
      <c r="A300" t="s">
        <v>53</v>
      </c>
      <c r="B300">
        <v>2021</v>
      </c>
      <c r="C300" t="s">
        <v>60</v>
      </c>
      <c r="D300">
        <v>149.1</v>
      </c>
      <c r="E300">
        <v>210.9</v>
      </c>
      <c r="F300">
        <v>185</v>
      </c>
      <c r="G300">
        <v>158.19999999999999</v>
      </c>
      <c r="H300">
        <v>170.6</v>
      </c>
      <c r="I300">
        <v>170.9</v>
      </c>
      <c r="J300">
        <v>186.4</v>
      </c>
      <c r="K300">
        <v>164.7</v>
      </c>
      <c r="L300">
        <v>115.7</v>
      </c>
      <c r="M300">
        <v>165.5</v>
      </c>
      <c r="N300">
        <v>153.4</v>
      </c>
      <c r="O300">
        <v>173.5</v>
      </c>
      <c r="P300">
        <v>167.9</v>
      </c>
      <c r="Q300">
        <v>195.5</v>
      </c>
      <c r="R300">
        <v>157.9</v>
      </c>
      <c r="S300">
        <v>141.9</v>
      </c>
      <c r="T300">
        <v>155.5</v>
      </c>
      <c r="U300">
        <v>161.5</v>
      </c>
      <c r="V300">
        <v>157.69999999999999</v>
      </c>
      <c r="W300">
        <v>150.69999999999999</v>
      </c>
      <c r="X300">
        <v>161.5</v>
      </c>
      <c r="Y300">
        <v>149.5</v>
      </c>
      <c r="Z300">
        <v>151.19999999999999</v>
      </c>
      <c r="AA300">
        <v>160.30000000000001</v>
      </c>
      <c r="AB300">
        <v>159.6</v>
      </c>
      <c r="AC300">
        <v>155</v>
      </c>
      <c r="AF300">
        <v>161.80000000000001</v>
      </c>
    </row>
    <row r="301" spans="1:32" x14ac:dyDescent="0.3">
      <c r="A301" t="s">
        <v>54</v>
      </c>
      <c r="B301">
        <v>2021</v>
      </c>
      <c r="C301" t="s">
        <v>60</v>
      </c>
      <c r="D301">
        <v>146.4</v>
      </c>
      <c r="E301">
        <v>206.8</v>
      </c>
      <c r="F301">
        <v>182.2</v>
      </c>
      <c r="G301">
        <v>157.5</v>
      </c>
      <c r="H301">
        <v>182.1</v>
      </c>
      <c r="I301">
        <v>163.9</v>
      </c>
      <c r="J301">
        <v>164.2</v>
      </c>
      <c r="K301">
        <v>164</v>
      </c>
      <c r="L301">
        <v>114.5</v>
      </c>
      <c r="M301">
        <v>168.3</v>
      </c>
      <c r="N301">
        <v>160.9</v>
      </c>
      <c r="O301">
        <v>172.2</v>
      </c>
      <c r="P301">
        <v>164</v>
      </c>
      <c r="Q301">
        <v>191.2</v>
      </c>
      <c r="R301">
        <v>162.80000000000001</v>
      </c>
      <c r="S301">
        <v>153.1</v>
      </c>
      <c r="T301">
        <v>161.4</v>
      </c>
      <c r="U301">
        <v>161.5</v>
      </c>
      <c r="V301">
        <v>160.69999999999999</v>
      </c>
      <c r="W301">
        <v>155.80000000000001</v>
      </c>
      <c r="X301">
        <v>167</v>
      </c>
      <c r="Y301">
        <v>153.1</v>
      </c>
      <c r="Z301">
        <v>155.30000000000001</v>
      </c>
      <c r="AA301">
        <v>163.19999999999999</v>
      </c>
      <c r="AB301">
        <v>160.1</v>
      </c>
      <c r="AC301">
        <v>159</v>
      </c>
      <c r="AD301" t="str">
        <f>C301 &amp; " "  &amp; B301</f>
        <v>July 2021</v>
      </c>
      <c r="AE301" s="3">
        <f>(AF301-AF265)/AF265</f>
        <v>7.0487483530961709E-2</v>
      </c>
      <c r="AF301">
        <v>162.5</v>
      </c>
    </row>
    <row r="302" spans="1:32" hidden="1" x14ac:dyDescent="0.3">
      <c r="A302" t="s">
        <v>50</v>
      </c>
      <c r="B302">
        <v>2021</v>
      </c>
      <c r="C302" t="s">
        <v>61</v>
      </c>
      <c r="D302">
        <v>144.9</v>
      </c>
      <c r="E302">
        <v>202.3</v>
      </c>
      <c r="F302">
        <v>176.5</v>
      </c>
      <c r="G302">
        <v>157.5</v>
      </c>
      <c r="H302">
        <v>190.9</v>
      </c>
      <c r="I302">
        <v>155.69999999999999</v>
      </c>
      <c r="J302">
        <v>153.9</v>
      </c>
      <c r="K302">
        <v>162.80000000000001</v>
      </c>
      <c r="L302">
        <v>115.2</v>
      </c>
      <c r="M302">
        <v>169.8</v>
      </c>
      <c r="N302">
        <v>167.6</v>
      </c>
      <c r="O302">
        <v>171.9</v>
      </c>
      <c r="P302">
        <v>161.80000000000001</v>
      </c>
      <c r="Q302">
        <v>190.2</v>
      </c>
      <c r="R302">
        <v>167</v>
      </c>
      <c r="S302">
        <v>162.6</v>
      </c>
      <c r="T302">
        <v>166.3</v>
      </c>
      <c r="U302">
        <f>AVERAGE(U300:U301)</f>
        <v>161.5</v>
      </c>
      <c r="V302">
        <v>163.1</v>
      </c>
      <c r="W302">
        <v>160.9</v>
      </c>
      <c r="X302">
        <v>171.1</v>
      </c>
      <c r="Y302">
        <v>157.69999999999999</v>
      </c>
      <c r="Z302">
        <v>161.1</v>
      </c>
      <c r="AA302">
        <v>167.5</v>
      </c>
      <c r="AB302">
        <v>160.30000000000001</v>
      </c>
      <c r="AC302">
        <v>163.30000000000001</v>
      </c>
      <c r="AF302">
        <v>163.6</v>
      </c>
    </row>
    <row r="303" spans="1:32" hidden="1" x14ac:dyDescent="0.3">
      <c r="A303" t="s">
        <v>53</v>
      </c>
      <c r="B303">
        <v>2021</v>
      </c>
      <c r="C303" t="s">
        <v>61</v>
      </c>
      <c r="D303">
        <v>149.30000000000001</v>
      </c>
      <c r="E303">
        <v>207.4</v>
      </c>
      <c r="F303">
        <v>174.1</v>
      </c>
      <c r="G303">
        <v>159.19999999999999</v>
      </c>
      <c r="H303">
        <v>175</v>
      </c>
      <c r="I303">
        <v>161.30000000000001</v>
      </c>
      <c r="J303">
        <v>183.3</v>
      </c>
      <c r="K303">
        <v>164.5</v>
      </c>
      <c r="L303">
        <v>120.4</v>
      </c>
      <c r="M303">
        <v>166.2</v>
      </c>
      <c r="N303">
        <v>154.80000000000001</v>
      </c>
      <c r="O303">
        <v>175.1</v>
      </c>
      <c r="P303">
        <v>167.3</v>
      </c>
      <c r="Q303">
        <v>196.5</v>
      </c>
      <c r="R303">
        <v>159.80000000000001</v>
      </c>
      <c r="S303">
        <v>143.6</v>
      </c>
      <c r="T303">
        <v>157.30000000000001</v>
      </c>
      <c r="U303">
        <v>162.1</v>
      </c>
      <c r="V303">
        <v>160.69999999999999</v>
      </c>
      <c r="W303">
        <v>153.19999999999999</v>
      </c>
      <c r="X303">
        <v>162.80000000000001</v>
      </c>
      <c r="Y303">
        <v>150.4</v>
      </c>
      <c r="Z303">
        <v>153.69999999999999</v>
      </c>
      <c r="AA303">
        <v>160.4</v>
      </c>
      <c r="AB303">
        <v>159.6</v>
      </c>
      <c r="AC303">
        <v>156</v>
      </c>
      <c r="AF303">
        <v>162.30000000000001</v>
      </c>
    </row>
    <row r="304" spans="1:32" x14ac:dyDescent="0.3">
      <c r="A304" t="s">
        <v>54</v>
      </c>
      <c r="B304">
        <v>2021</v>
      </c>
      <c r="C304" t="s">
        <v>61</v>
      </c>
      <c r="D304">
        <v>146.6</v>
      </c>
      <c r="E304">
        <v>204</v>
      </c>
      <c r="F304">
        <v>172.8</v>
      </c>
      <c r="G304">
        <v>158.4</v>
      </c>
      <c r="H304">
        <v>188</v>
      </c>
      <c r="I304">
        <v>156.80000000000001</v>
      </c>
      <c r="J304">
        <v>162.19999999999999</v>
      </c>
      <c r="K304">
        <v>164.1</v>
      </c>
      <c r="L304">
        <v>119.7</v>
      </c>
      <c r="M304">
        <v>168.8</v>
      </c>
      <c r="N304">
        <v>162.69999999999999</v>
      </c>
      <c r="O304">
        <v>173.9</v>
      </c>
      <c r="P304">
        <v>164</v>
      </c>
      <c r="Q304">
        <v>192.1</v>
      </c>
      <c r="R304">
        <v>164.5</v>
      </c>
      <c r="S304">
        <v>155.30000000000001</v>
      </c>
      <c r="T304">
        <v>163.19999999999999</v>
      </c>
      <c r="U304">
        <v>162.1</v>
      </c>
      <c r="V304">
        <v>162.6</v>
      </c>
      <c r="W304">
        <v>157.5</v>
      </c>
      <c r="X304">
        <v>168.4</v>
      </c>
      <c r="Y304">
        <v>154</v>
      </c>
      <c r="Z304">
        <v>157.6</v>
      </c>
      <c r="AA304">
        <v>163.80000000000001</v>
      </c>
      <c r="AB304">
        <v>160</v>
      </c>
      <c r="AC304">
        <v>160</v>
      </c>
      <c r="AD304" t="str">
        <f>C304 &amp; " "  &amp; B304</f>
        <v>August 2021</v>
      </c>
      <c r="AE304" s="3">
        <f>(AF304-AF268)/AF268</f>
        <v>6.0428849902533999E-2</v>
      </c>
      <c r="AF304">
        <v>163.19999999999999</v>
      </c>
    </row>
    <row r="305" spans="1:32" hidden="1" x14ac:dyDescent="0.3">
      <c r="A305" t="s">
        <v>50</v>
      </c>
      <c r="B305">
        <v>2021</v>
      </c>
      <c r="C305" t="s">
        <v>62</v>
      </c>
      <c r="D305">
        <v>145.4</v>
      </c>
      <c r="E305">
        <v>202.1</v>
      </c>
      <c r="F305">
        <v>172</v>
      </c>
      <c r="G305">
        <v>158</v>
      </c>
      <c r="H305">
        <v>195.5</v>
      </c>
      <c r="I305">
        <v>152.69999999999999</v>
      </c>
      <c r="J305">
        <v>151.4</v>
      </c>
      <c r="K305">
        <v>163.9</v>
      </c>
      <c r="L305">
        <v>119.3</v>
      </c>
      <c r="M305">
        <v>170.1</v>
      </c>
      <c r="N305">
        <v>168.3</v>
      </c>
      <c r="O305">
        <v>172.8</v>
      </c>
      <c r="P305">
        <v>162.1</v>
      </c>
      <c r="Q305">
        <v>190.5</v>
      </c>
      <c r="R305">
        <v>167.7</v>
      </c>
      <c r="S305">
        <v>163.6</v>
      </c>
      <c r="T305">
        <v>167.1</v>
      </c>
      <c r="U305">
        <f>AVERAGE(U303:U304)</f>
        <v>162.1</v>
      </c>
      <c r="V305">
        <v>163.69999999999999</v>
      </c>
      <c r="W305">
        <v>161.30000000000001</v>
      </c>
      <c r="X305">
        <v>171.9</v>
      </c>
      <c r="Y305">
        <v>157.80000000000001</v>
      </c>
      <c r="Z305">
        <v>162.69999999999999</v>
      </c>
      <c r="AA305">
        <v>168.5</v>
      </c>
      <c r="AB305">
        <v>160.19999999999999</v>
      </c>
      <c r="AC305">
        <v>163.80000000000001</v>
      </c>
      <c r="AF305">
        <v>164</v>
      </c>
    </row>
    <row r="306" spans="1:32" hidden="1" x14ac:dyDescent="0.3">
      <c r="A306" t="s">
        <v>53</v>
      </c>
      <c r="B306">
        <v>2021</v>
      </c>
      <c r="C306" t="s">
        <v>62</v>
      </c>
      <c r="D306">
        <v>149.30000000000001</v>
      </c>
      <c r="E306">
        <v>207.4</v>
      </c>
      <c r="F306">
        <v>174.1</v>
      </c>
      <c r="G306">
        <v>159.1</v>
      </c>
      <c r="H306">
        <v>175</v>
      </c>
      <c r="I306">
        <v>161.19999999999999</v>
      </c>
      <c r="J306">
        <v>183.5</v>
      </c>
      <c r="K306">
        <v>164.5</v>
      </c>
      <c r="L306">
        <v>120.4</v>
      </c>
      <c r="M306">
        <v>166.2</v>
      </c>
      <c r="N306">
        <v>154.80000000000001</v>
      </c>
      <c r="O306">
        <v>175.1</v>
      </c>
      <c r="P306">
        <v>167.3</v>
      </c>
      <c r="Q306">
        <v>196.5</v>
      </c>
      <c r="R306">
        <v>159.80000000000001</v>
      </c>
      <c r="S306">
        <v>143.6</v>
      </c>
      <c r="T306">
        <v>157.4</v>
      </c>
      <c r="U306">
        <v>162.1</v>
      </c>
      <c r="V306">
        <v>160.80000000000001</v>
      </c>
      <c r="W306">
        <v>153.30000000000001</v>
      </c>
      <c r="X306">
        <v>162.80000000000001</v>
      </c>
      <c r="Y306">
        <v>150.5</v>
      </c>
      <c r="Z306">
        <v>153.9</v>
      </c>
      <c r="AA306">
        <v>160.30000000000001</v>
      </c>
      <c r="AB306">
        <v>159.6</v>
      </c>
      <c r="AC306">
        <v>156</v>
      </c>
      <c r="AF306">
        <v>162.30000000000001</v>
      </c>
    </row>
    <row r="307" spans="1:32" x14ac:dyDescent="0.3">
      <c r="A307" t="s">
        <v>54</v>
      </c>
      <c r="B307">
        <v>2021</v>
      </c>
      <c r="C307" t="s">
        <v>62</v>
      </c>
      <c r="D307">
        <v>146.6</v>
      </c>
      <c r="E307">
        <v>204</v>
      </c>
      <c r="F307">
        <v>172.8</v>
      </c>
      <c r="G307">
        <v>158.4</v>
      </c>
      <c r="H307">
        <v>188</v>
      </c>
      <c r="I307">
        <v>156.69999999999999</v>
      </c>
      <c r="J307">
        <v>162.30000000000001</v>
      </c>
      <c r="K307">
        <v>164.1</v>
      </c>
      <c r="L307">
        <v>119.7</v>
      </c>
      <c r="M307">
        <v>168.8</v>
      </c>
      <c r="N307">
        <v>162.69999999999999</v>
      </c>
      <c r="O307">
        <v>173.9</v>
      </c>
      <c r="P307">
        <v>164</v>
      </c>
      <c r="Q307">
        <v>192.1</v>
      </c>
      <c r="R307">
        <v>164.6</v>
      </c>
      <c r="S307">
        <v>155.30000000000001</v>
      </c>
      <c r="T307">
        <v>163.30000000000001</v>
      </c>
      <c r="U307">
        <v>162.1</v>
      </c>
      <c r="V307">
        <v>162.6</v>
      </c>
      <c r="W307">
        <v>157.5</v>
      </c>
      <c r="X307">
        <v>168.4</v>
      </c>
      <c r="Y307">
        <v>154</v>
      </c>
      <c r="Z307">
        <v>157.69999999999999</v>
      </c>
      <c r="AA307">
        <v>163.69999999999999</v>
      </c>
      <c r="AB307">
        <v>160</v>
      </c>
      <c r="AC307">
        <v>160</v>
      </c>
      <c r="AD307" t="str">
        <f>C307 &amp; " "  &amp; B307</f>
        <v>September 2021</v>
      </c>
      <c r="AE307" s="3">
        <f>(AF307-AF271)/AF271</f>
        <v>5.4945054945054951E-2</v>
      </c>
      <c r="AF307">
        <v>163.19999999999999</v>
      </c>
    </row>
    <row r="308" spans="1:32" hidden="1" x14ac:dyDescent="0.3">
      <c r="A308" t="s">
        <v>50</v>
      </c>
      <c r="B308">
        <v>2021</v>
      </c>
      <c r="C308" t="s">
        <v>63</v>
      </c>
      <c r="D308">
        <v>146.1</v>
      </c>
      <c r="E308">
        <v>202.5</v>
      </c>
      <c r="F308">
        <v>170.1</v>
      </c>
      <c r="G308">
        <v>158.4</v>
      </c>
      <c r="H308">
        <v>198.8</v>
      </c>
      <c r="I308">
        <v>152.6</v>
      </c>
      <c r="J308">
        <v>170.4</v>
      </c>
      <c r="K308">
        <v>165.2</v>
      </c>
      <c r="L308">
        <v>121.6</v>
      </c>
      <c r="M308">
        <v>170.6</v>
      </c>
      <c r="N308">
        <v>168.8</v>
      </c>
      <c r="O308">
        <v>173.6</v>
      </c>
      <c r="P308">
        <v>165.5</v>
      </c>
      <c r="Q308">
        <v>191.2</v>
      </c>
      <c r="R308">
        <v>168.9</v>
      </c>
      <c r="S308">
        <v>164.8</v>
      </c>
      <c r="T308">
        <v>168.3</v>
      </c>
      <c r="U308">
        <f>AVERAGE(U306:U307)</f>
        <v>162.1</v>
      </c>
      <c r="V308">
        <v>165.5</v>
      </c>
      <c r="W308">
        <v>162</v>
      </c>
      <c r="X308">
        <v>172.5</v>
      </c>
      <c r="Y308">
        <v>159.5</v>
      </c>
      <c r="Z308">
        <v>163.19999999999999</v>
      </c>
      <c r="AA308">
        <v>169</v>
      </c>
      <c r="AB308">
        <v>161.1</v>
      </c>
      <c r="AC308">
        <v>164.7</v>
      </c>
      <c r="AF308">
        <v>166.3</v>
      </c>
    </row>
    <row r="309" spans="1:32" hidden="1" x14ac:dyDescent="0.3">
      <c r="A309" t="s">
        <v>53</v>
      </c>
      <c r="B309">
        <v>2021</v>
      </c>
      <c r="C309" t="s">
        <v>63</v>
      </c>
      <c r="D309">
        <v>150.1</v>
      </c>
      <c r="E309">
        <v>208.4</v>
      </c>
      <c r="F309">
        <v>173</v>
      </c>
      <c r="G309">
        <v>159.19999999999999</v>
      </c>
      <c r="H309">
        <v>176.6</v>
      </c>
      <c r="I309">
        <v>159.30000000000001</v>
      </c>
      <c r="J309">
        <v>214.4</v>
      </c>
      <c r="K309">
        <v>165.3</v>
      </c>
      <c r="L309">
        <v>122.5</v>
      </c>
      <c r="M309">
        <v>166.8</v>
      </c>
      <c r="N309">
        <v>155.4</v>
      </c>
      <c r="O309">
        <v>175.9</v>
      </c>
      <c r="P309">
        <v>171.5</v>
      </c>
      <c r="Q309">
        <v>197</v>
      </c>
      <c r="R309">
        <v>160.80000000000001</v>
      </c>
      <c r="S309">
        <v>144.4</v>
      </c>
      <c r="T309">
        <v>158.30000000000001</v>
      </c>
      <c r="U309">
        <v>163.6</v>
      </c>
      <c r="V309">
        <v>162.19999999999999</v>
      </c>
      <c r="W309">
        <v>154.30000000000001</v>
      </c>
      <c r="X309">
        <v>163.5</v>
      </c>
      <c r="Y309">
        <v>152.19999999999999</v>
      </c>
      <c r="Z309">
        <v>155.1</v>
      </c>
      <c r="AA309">
        <v>160.30000000000001</v>
      </c>
      <c r="AB309">
        <v>160.30000000000001</v>
      </c>
      <c r="AC309">
        <v>157</v>
      </c>
      <c r="AF309">
        <v>164.6</v>
      </c>
    </row>
    <row r="310" spans="1:32" x14ac:dyDescent="0.3">
      <c r="A310" t="s">
        <v>54</v>
      </c>
      <c r="B310">
        <v>2021</v>
      </c>
      <c r="C310" t="s">
        <v>63</v>
      </c>
      <c r="D310">
        <v>147.4</v>
      </c>
      <c r="E310">
        <v>204.6</v>
      </c>
      <c r="F310">
        <v>171.2</v>
      </c>
      <c r="G310">
        <v>158.69999999999999</v>
      </c>
      <c r="H310">
        <v>190.6</v>
      </c>
      <c r="I310">
        <v>155.69999999999999</v>
      </c>
      <c r="J310">
        <v>185.3</v>
      </c>
      <c r="K310">
        <v>165.2</v>
      </c>
      <c r="L310">
        <v>121.9</v>
      </c>
      <c r="M310">
        <v>169.3</v>
      </c>
      <c r="N310">
        <v>163.19999999999999</v>
      </c>
      <c r="O310">
        <v>174.7</v>
      </c>
      <c r="P310">
        <v>167.7</v>
      </c>
      <c r="Q310">
        <v>192.7</v>
      </c>
      <c r="R310">
        <v>165.7</v>
      </c>
      <c r="S310">
        <v>156.30000000000001</v>
      </c>
      <c r="T310">
        <v>164.3</v>
      </c>
      <c r="U310">
        <v>163.6</v>
      </c>
      <c r="V310">
        <v>164.2</v>
      </c>
      <c r="W310">
        <v>158.4</v>
      </c>
      <c r="X310">
        <v>169.1</v>
      </c>
      <c r="Y310">
        <v>155.69999999999999</v>
      </c>
      <c r="Z310">
        <v>158.6</v>
      </c>
      <c r="AA310">
        <v>163.9</v>
      </c>
      <c r="AB310">
        <v>160.80000000000001</v>
      </c>
      <c r="AC310">
        <v>161</v>
      </c>
      <c r="AD310" t="str">
        <f>C310 &amp; " "  &amp; B310</f>
        <v>October 2021</v>
      </c>
      <c r="AE310" s="3">
        <f>(AF310-AF274)/AF274</f>
        <v>5.8184143222506354E-2</v>
      </c>
      <c r="AF310">
        <v>165.5</v>
      </c>
    </row>
    <row r="311" spans="1:32" hidden="1" x14ac:dyDescent="0.3">
      <c r="A311" t="s">
        <v>50</v>
      </c>
      <c r="B311">
        <v>2021</v>
      </c>
      <c r="C311" t="s">
        <v>65</v>
      </c>
      <c r="D311">
        <v>146.9</v>
      </c>
      <c r="E311">
        <v>199.8</v>
      </c>
      <c r="F311">
        <v>171.5</v>
      </c>
      <c r="G311">
        <v>159.1</v>
      </c>
      <c r="H311">
        <v>198.4</v>
      </c>
      <c r="I311">
        <v>153.19999999999999</v>
      </c>
      <c r="J311">
        <v>183.9</v>
      </c>
      <c r="K311">
        <v>165.4</v>
      </c>
      <c r="L311">
        <v>122.1</v>
      </c>
      <c r="M311">
        <v>170.8</v>
      </c>
      <c r="N311">
        <v>169.1</v>
      </c>
      <c r="O311">
        <v>174.3</v>
      </c>
      <c r="P311">
        <v>167.5</v>
      </c>
      <c r="Q311">
        <v>191.4</v>
      </c>
      <c r="R311">
        <v>170.4</v>
      </c>
      <c r="S311">
        <v>166</v>
      </c>
      <c r="T311">
        <v>169.8</v>
      </c>
      <c r="U311">
        <f>AVERAGE(U309:U310)</f>
        <v>163.6</v>
      </c>
      <c r="V311">
        <v>165.3</v>
      </c>
      <c r="W311">
        <v>162.9</v>
      </c>
      <c r="X311">
        <v>173.4</v>
      </c>
      <c r="Y311">
        <v>158.9</v>
      </c>
      <c r="Z311">
        <v>163.80000000000001</v>
      </c>
      <c r="AA311">
        <v>169.3</v>
      </c>
      <c r="AB311">
        <v>162.4</v>
      </c>
      <c r="AC311">
        <v>165.2</v>
      </c>
      <c r="AF311">
        <v>167.6</v>
      </c>
    </row>
    <row r="312" spans="1:32" hidden="1" x14ac:dyDescent="0.3">
      <c r="A312" t="s">
        <v>53</v>
      </c>
      <c r="B312">
        <v>2021</v>
      </c>
      <c r="C312" t="s">
        <v>65</v>
      </c>
      <c r="D312">
        <v>151</v>
      </c>
      <c r="E312">
        <v>204.9</v>
      </c>
      <c r="F312">
        <v>175.4</v>
      </c>
      <c r="G312">
        <v>159.6</v>
      </c>
      <c r="H312">
        <v>175.8</v>
      </c>
      <c r="I312">
        <v>160.30000000000001</v>
      </c>
      <c r="J312">
        <v>229.1</v>
      </c>
      <c r="K312">
        <v>165.1</v>
      </c>
      <c r="L312">
        <v>123.1</v>
      </c>
      <c r="M312">
        <v>167.2</v>
      </c>
      <c r="N312">
        <v>156.1</v>
      </c>
      <c r="O312">
        <v>176.8</v>
      </c>
      <c r="P312">
        <v>173.5</v>
      </c>
      <c r="Q312">
        <v>197</v>
      </c>
      <c r="R312">
        <v>162.30000000000001</v>
      </c>
      <c r="S312">
        <v>145.30000000000001</v>
      </c>
      <c r="T312">
        <v>159.69999999999999</v>
      </c>
      <c r="U312">
        <v>164.2</v>
      </c>
      <c r="V312">
        <v>161.6</v>
      </c>
      <c r="W312">
        <v>155.19999999999999</v>
      </c>
      <c r="X312">
        <v>164.2</v>
      </c>
      <c r="Y312">
        <v>151.19999999999999</v>
      </c>
      <c r="Z312">
        <v>156.69999999999999</v>
      </c>
      <c r="AA312">
        <v>160.80000000000001</v>
      </c>
      <c r="AB312">
        <v>161.80000000000001</v>
      </c>
      <c r="AC312">
        <v>157.30000000000001</v>
      </c>
      <c r="AF312">
        <v>165.6</v>
      </c>
    </row>
    <row r="313" spans="1:32" x14ac:dyDescent="0.3">
      <c r="A313" t="s">
        <v>54</v>
      </c>
      <c r="B313">
        <v>2021</v>
      </c>
      <c r="C313" t="s">
        <v>65</v>
      </c>
      <c r="D313">
        <v>148.19999999999999</v>
      </c>
      <c r="E313">
        <v>201.6</v>
      </c>
      <c r="F313">
        <v>173</v>
      </c>
      <c r="G313">
        <v>159.30000000000001</v>
      </c>
      <c r="H313">
        <v>190.1</v>
      </c>
      <c r="I313">
        <v>156.5</v>
      </c>
      <c r="J313">
        <v>199.2</v>
      </c>
      <c r="K313">
        <v>165.3</v>
      </c>
      <c r="L313">
        <v>122.4</v>
      </c>
      <c r="M313">
        <v>169.6</v>
      </c>
      <c r="N313">
        <v>163.69999999999999</v>
      </c>
      <c r="O313">
        <v>175.5</v>
      </c>
      <c r="P313">
        <v>169.7</v>
      </c>
      <c r="Q313">
        <v>192.9</v>
      </c>
      <c r="R313">
        <v>167.2</v>
      </c>
      <c r="S313">
        <v>157.4</v>
      </c>
      <c r="T313">
        <v>165.8</v>
      </c>
      <c r="U313">
        <v>164.2</v>
      </c>
      <c r="V313">
        <v>163.9</v>
      </c>
      <c r="W313">
        <v>159.30000000000001</v>
      </c>
      <c r="X313">
        <v>169.9</v>
      </c>
      <c r="Y313">
        <v>154.80000000000001</v>
      </c>
      <c r="Z313">
        <v>159.80000000000001</v>
      </c>
      <c r="AA313">
        <v>164.3</v>
      </c>
      <c r="AB313">
        <v>162.19999999999999</v>
      </c>
      <c r="AC313">
        <v>161.4</v>
      </c>
      <c r="AD313" t="str">
        <f>C313 &amp; " "  &amp; B313</f>
        <v>November 2021</v>
      </c>
      <c r="AE313" s="3">
        <f>(AF313-AF277)/AF277</f>
        <v>5.2398989898989792E-2</v>
      </c>
      <c r="AF313">
        <v>166.7</v>
      </c>
    </row>
    <row r="314" spans="1:32" hidden="1" x14ac:dyDescent="0.3">
      <c r="A314" t="s">
        <v>50</v>
      </c>
      <c r="B314">
        <v>2021</v>
      </c>
      <c r="C314" t="s">
        <v>66</v>
      </c>
      <c r="D314">
        <v>147.4</v>
      </c>
      <c r="E314">
        <v>197</v>
      </c>
      <c r="F314">
        <v>176.5</v>
      </c>
      <c r="G314">
        <v>159.80000000000001</v>
      </c>
      <c r="H314">
        <v>195.8</v>
      </c>
      <c r="I314">
        <v>152</v>
      </c>
      <c r="J314">
        <v>172.3</v>
      </c>
      <c r="K314">
        <v>164.5</v>
      </c>
      <c r="L314">
        <v>120.6</v>
      </c>
      <c r="M314">
        <v>171.7</v>
      </c>
      <c r="N314">
        <v>169.7</v>
      </c>
      <c r="O314">
        <v>175.1</v>
      </c>
      <c r="P314">
        <v>165.8</v>
      </c>
      <c r="Q314">
        <v>190.8</v>
      </c>
      <c r="R314">
        <v>171.8</v>
      </c>
      <c r="S314">
        <v>167.3</v>
      </c>
      <c r="T314">
        <v>171.2</v>
      </c>
      <c r="U314">
        <f>AVERAGE(U312:U313)</f>
        <v>164.2</v>
      </c>
      <c r="V314">
        <v>165.6</v>
      </c>
      <c r="W314">
        <v>163.9</v>
      </c>
      <c r="X314">
        <v>174</v>
      </c>
      <c r="Y314">
        <v>160.1</v>
      </c>
      <c r="Z314">
        <v>164.5</v>
      </c>
      <c r="AA314">
        <v>169.7</v>
      </c>
      <c r="AB314">
        <v>162.80000000000001</v>
      </c>
      <c r="AC314">
        <v>166</v>
      </c>
      <c r="AF314">
        <v>167</v>
      </c>
    </row>
    <row r="315" spans="1:32" hidden="1" x14ac:dyDescent="0.3">
      <c r="A315" t="s">
        <v>53</v>
      </c>
      <c r="B315">
        <v>2021</v>
      </c>
      <c r="C315" t="s">
        <v>66</v>
      </c>
      <c r="D315">
        <v>151.6</v>
      </c>
      <c r="E315">
        <v>202.2</v>
      </c>
      <c r="F315">
        <v>180</v>
      </c>
      <c r="G315">
        <v>160</v>
      </c>
      <c r="H315">
        <v>173.5</v>
      </c>
      <c r="I315">
        <v>158.30000000000001</v>
      </c>
      <c r="J315">
        <v>219.5</v>
      </c>
      <c r="K315">
        <v>164.2</v>
      </c>
      <c r="L315">
        <v>121.9</v>
      </c>
      <c r="M315">
        <v>168.2</v>
      </c>
      <c r="N315">
        <v>156.5</v>
      </c>
      <c r="O315">
        <v>178.2</v>
      </c>
      <c r="P315">
        <v>172.2</v>
      </c>
      <c r="Q315">
        <v>196.8</v>
      </c>
      <c r="R315">
        <v>163.30000000000001</v>
      </c>
      <c r="S315">
        <v>146.69999999999999</v>
      </c>
      <c r="T315">
        <v>160.69999999999999</v>
      </c>
      <c r="U315">
        <v>163.4</v>
      </c>
      <c r="V315">
        <v>161.69999999999999</v>
      </c>
      <c r="W315">
        <v>156</v>
      </c>
      <c r="X315">
        <v>165.1</v>
      </c>
      <c r="Y315">
        <v>151.80000000000001</v>
      </c>
      <c r="Z315">
        <v>157.6</v>
      </c>
      <c r="AA315">
        <v>160.6</v>
      </c>
      <c r="AB315">
        <v>162.4</v>
      </c>
      <c r="AC315">
        <v>157.80000000000001</v>
      </c>
      <c r="AF315">
        <v>165.2</v>
      </c>
    </row>
    <row r="316" spans="1:32" x14ac:dyDescent="0.3">
      <c r="A316" t="s">
        <v>54</v>
      </c>
      <c r="B316">
        <v>2021</v>
      </c>
      <c r="C316" t="s">
        <v>66</v>
      </c>
      <c r="D316">
        <v>148.69999999999999</v>
      </c>
      <c r="E316">
        <v>198.8</v>
      </c>
      <c r="F316">
        <v>177.9</v>
      </c>
      <c r="G316">
        <v>159.9</v>
      </c>
      <c r="H316">
        <v>187.6</v>
      </c>
      <c r="I316">
        <v>154.9</v>
      </c>
      <c r="J316">
        <v>188.3</v>
      </c>
      <c r="K316">
        <v>164.4</v>
      </c>
      <c r="L316">
        <v>121</v>
      </c>
      <c r="M316">
        <v>170.5</v>
      </c>
      <c r="N316">
        <v>164.2</v>
      </c>
      <c r="O316">
        <v>176.5</v>
      </c>
      <c r="P316">
        <v>168.2</v>
      </c>
      <c r="Q316">
        <v>192.4</v>
      </c>
      <c r="R316">
        <v>168.5</v>
      </c>
      <c r="S316">
        <v>158.69999999999999</v>
      </c>
      <c r="T316">
        <v>167</v>
      </c>
      <c r="U316">
        <v>163.4</v>
      </c>
      <c r="V316">
        <v>164.1</v>
      </c>
      <c r="W316">
        <v>160.19999999999999</v>
      </c>
      <c r="X316">
        <v>170.6</v>
      </c>
      <c r="Y316">
        <v>155.69999999999999</v>
      </c>
      <c r="Z316">
        <v>160.6</v>
      </c>
      <c r="AA316">
        <v>164.4</v>
      </c>
      <c r="AB316">
        <v>162.6</v>
      </c>
      <c r="AC316">
        <v>162</v>
      </c>
      <c r="AD316" t="str">
        <f>C316 &amp; " "  &amp; B316</f>
        <v>December 2021</v>
      </c>
      <c r="AE316" s="3">
        <f>(AF316-AF280)/AF280</f>
        <v>4.5940843297671383E-2</v>
      </c>
      <c r="AF316">
        <v>166.2</v>
      </c>
    </row>
    <row r="317" spans="1:32" hidden="1" x14ac:dyDescent="0.3">
      <c r="A317" t="s">
        <v>50</v>
      </c>
      <c r="B317">
        <v>2022</v>
      </c>
      <c r="C317" t="s">
        <v>51</v>
      </c>
      <c r="D317">
        <v>148.30000000000001</v>
      </c>
      <c r="E317">
        <v>196.9</v>
      </c>
      <c r="F317">
        <v>178</v>
      </c>
      <c r="G317">
        <v>160.5</v>
      </c>
      <c r="H317">
        <v>192.6</v>
      </c>
      <c r="I317">
        <v>151.19999999999999</v>
      </c>
      <c r="J317">
        <v>159.19999999999999</v>
      </c>
      <c r="K317">
        <v>164</v>
      </c>
      <c r="L317">
        <v>119.3</v>
      </c>
      <c r="M317">
        <v>173.3</v>
      </c>
      <c r="N317">
        <v>169.8</v>
      </c>
      <c r="O317">
        <v>175.8</v>
      </c>
      <c r="P317">
        <v>164.1</v>
      </c>
      <c r="Q317">
        <v>190.7</v>
      </c>
      <c r="R317">
        <v>173.2</v>
      </c>
      <c r="S317">
        <v>169.3</v>
      </c>
      <c r="T317">
        <v>172.7</v>
      </c>
      <c r="U317">
        <f>AVERAGE(U315:U316)</f>
        <v>163.4</v>
      </c>
      <c r="V317">
        <v>165.8</v>
      </c>
      <c r="W317">
        <v>164.9</v>
      </c>
      <c r="X317">
        <v>174.7</v>
      </c>
      <c r="Y317">
        <v>160.80000000000001</v>
      </c>
      <c r="Z317">
        <v>164.9</v>
      </c>
      <c r="AA317">
        <v>169.9</v>
      </c>
      <c r="AB317">
        <v>163.19999999999999</v>
      </c>
      <c r="AC317">
        <v>166.6</v>
      </c>
      <c r="AF317">
        <v>166.4</v>
      </c>
    </row>
    <row r="318" spans="1:32" hidden="1" x14ac:dyDescent="0.3">
      <c r="A318" t="s">
        <v>53</v>
      </c>
      <c r="B318">
        <v>2022</v>
      </c>
      <c r="C318" t="s">
        <v>51</v>
      </c>
      <c r="D318">
        <v>152.19999999999999</v>
      </c>
      <c r="E318">
        <v>202.1</v>
      </c>
      <c r="F318">
        <v>180.1</v>
      </c>
      <c r="G318">
        <v>160.4</v>
      </c>
      <c r="H318">
        <v>171</v>
      </c>
      <c r="I318">
        <v>156.5</v>
      </c>
      <c r="J318">
        <v>203.6</v>
      </c>
      <c r="K318">
        <v>163.80000000000001</v>
      </c>
      <c r="L318">
        <v>121.3</v>
      </c>
      <c r="M318">
        <v>169.8</v>
      </c>
      <c r="N318">
        <v>156.6</v>
      </c>
      <c r="O318">
        <v>179</v>
      </c>
      <c r="P318">
        <v>170.3</v>
      </c>
      <c r="Q318">
        <v>196.4</v>
      </c>
      <c r="R318">
        <v>164.7</v>
      </c>
      <c r="S318">
        <v>148.5</v>
      </c>
      <c r="T318">
        <v>162.19999999999999</v>
      </c>
      <c r="U318">
        <v>164.5</v>
      </c>
      <c r="V318">
        <v>161.6</v>
      </c>
      <c r="W318">
        <v>156.80000000000001</v>
      </c>
      <c r="X318">
        <v>166.1</v>
      </c>
      <c r="Y318">
        <v>152.69999999999999</v>
      </c>
      <c r="Z318">
        <v>158.4</v>
      </c>
      <c r="AA318">
        <v>161</v>
      </c>
      <c r="AB318">
        <v>162.80000000000001</v>
      </c>
      <c r="AC318">
        <v>158.6</v>
      </c>
      <c r="AF318">
        <v>165</v>
      </c>
    </row>
    <row r="319" spans="1:32" x14ac:dyDescent="0.3">
      <c r="A319" t="s">
        <v>54</v>
      </c>
      <c r="B319">
        <v>2022</v>
      </c>
      <c r="C319" t="s">
        <v>51</v>
      </c>
      <c r="D319">
        <v>149.5</v>
      </c>
      <c r="E319">
        <v>198.7</v>
      </c>
      <c r="F319">
        <v>178.8</v>
      </c>
      <c r="G319">
        <v>160.5</v>
      </c>
      <c r="H319">
        <v>184.7</v>
      </c>
      <c r="I319">
        <v>153.69999999999999</v>
      </c>
      <c r="J319">
        <v>174.3</v>
      </c>
      <c r="K319">
        <v>163.9</v>
      </c>
      <c r="L319">
        <v>120</v>
      </c>
      <c r="M319">
        <v>172.1</v>
      </c>
      <c r="N319">
        <v>164.3</v>
      </c>
      <c r="O319">
        <v>177.3</v>
      </c>
      <c r="P319">
        <v>166.4</v>
      </c>
      <c r="Q319">
        <v>192.2</v>
      </c>
      <c r="R319">
        <v>169.9</v>
      </c>
      <c r="S319">
        <v>160.69999999999999</v>
      </c>
      <c r="T319">
        <v>168.5</v>
      </c>
      <c r="U319">
        <v>164.5</v>
      </c>
      <c r="V319">
        <v>164.2</v>
      </c>
      <c r="W319">
        <v>161.1</v>
      </c>
      <c r="X319">
        <v>171.4</v>
      </c>
      <c r="Y319">
        <v>156.5</v>
      </c>
      <c r="Z319">
        <v>161.19999999999999</v>
      </c>
      <c r="AA319">
        <v>164.7</v>
      </c>
      <c r="AB319">
        <v>163</v>
      </c>
      <c r="AC319">
        <v>162.69999999999999</v>
      </c>
      <c r="AD319" t="str">
        <f>C319 &amp; " "  &amp; B319</f>
        <v>January 2022</v>
      </c>
      <c r="AE319" s="3">
        <f>(AF319-AF283)/AF283</f>
        <v>5.3401144310235071E-2</v>
      </c>
      <c r="AF319">
        <v>165.7</v>
      </c>
    </row>
    <row r="320" spans="1:32" hidden="1" x14ac:dyDescent="0.3">
      <c r="A320" t="s">
        <v>50</v>
      </c>
      <c r="B320">
        <v>2022</v>
      </c>
      <c r="C320" t="s">
        <v>55</v>
      </c>
      <c r="D320">
        <v>148.80000000000001</v>
      </c>
      <c r="E320">
        <v>198.1</v>
      </c>
      <c r="F320">
        <v>175.5</v>
      </c>
      <c r="G320">
        <v>160.69999999999999</v>
      </c>
      <c r="H320">
        <v>192.6</v>
      </c>
      <c r="I320">
        <v>151.4</v>
      </c>
      <c r="J320">
        <v>155.19999999999999</v>
      </c>
      <c r="K320">
        <v>163.9</v>
      </c>
      <c r="L320">
        <v>118.1</v>
      </c>
      <c r="M320">
        <v>175.4</v>
      </c>
      <c r="N320">
        <v>170.5</v>
      </c>
      <c r="O320">
        <v>176.3</v>
      </c>
      <c r="P320">
        <v>163.9</v>
      </c>
      <c r="Q320">
        <v>191.5</v>
      </c>
      <c r="R320">
        <v>174.1</v>
      </c>
      <c r="S320">
        <v>171</v>
      </c>
      <c r="T320">
        <v>173.7</v>
      </c>
      <c r="U320">
        <f>AVERAGE(U318:U319)</f>
        <v>164.5</v>
      </c>
      <c r="V320">
        <v>167.4</v>
      </c>
      <c r="W320">
        <v>165.7</v>
      </c>
      <c r="X320">
        <v>175.3</v>
      </c>
      <c r="Y320">
        <v>161.19999999999999</v>
      </c>
      <c r="Z320">
        <v>165.5</v>
      </c>
      <c r="AA320">
        <v>170.3</v>
      </c>
      <c r="AB320">
        <v>164.5</v>
      </c>
      <c r="AC320">
        <v>167.3</v>
      </c>
      <c r="AF320">
        <v>166.7</v>
      </c>
    </row>
    <row r="321" spans="1:32" hidden="1" x14ac:dyDescent="0.3">
      <c r="A321" t="s">
        <v>53</v>
      </c>
      <c r="B321">
        <v>2022</v>
      </c>
      <c r="C321" t="s">
        <v>55</v>
      </c>
      <c r="D321">
        <v>152.5</v>
      </c>
      <c r="E321">
        <v>205.2</v>
      </c>
      <c r="F321">
        <v>176.4</v>
      </c>
      <c r="G321">
        <v>160.6</v>
      </c>
      <c r="H321">
        <v>171.5</v>
      </c>
      <c r="I321">
        <v>156.4</v>
      </c>
      <c r="J321">
        <v>198</v>
      </c>
      <c r="K321">
        <v>163.19999999999999</v>
      </c>
      <c r="L321">
        <v>120.6</v>
      </c>
      <c r="M321">
        <v>172.2</v>
      </c>
      <c r="N321">
        <v>156.69999999999999</v>
      </c>
      <c r="O321">
        <v>180</v>
      </c>
      <c r="P321">
        <v>170.2</v>
      </c>
      <c r="Q321">
        <v>196.5</v>
      </c>
      <c r="R321">
        <v>165.7</v>
      </c>
      <c r="S321">
        <v>150.4</v>
      </c>
      <c r="T321">
        <v>163.4</v>
      </c>
      <c r="U321">
        <v>165.5</v>
      </c>
      <c r="V321">
        <v>163</v>
      </c>
      <c r="W321">
        <v>157.4</v>
      </c>
      <c r="X321">
        <v>167.2</v>
      </c>
      <c r="Y321">
        <v>153.1</v>
      </c>
      <c r="Z321">
        <v>159.5</v>
      </c>
      <c r="AA321">
        <v>162</v>
      </c>
      <c r="AB321">
        <v>164.2</v>
      </c>
      <c r="AC321">
        <v>159.4</v>
      </c>
      <c r="AF321">
        <v>165.5</v>
      </c>
    </row>
    <row r="322" spans="1:32" x14ac:dyDescent="0.3">
      <c r="A322" t="s">
        <v>54</v>
      </c>
      <c r="B322">
        <v>2022</v>
      </c>
      <c r="C322" t="s">
        <v>55</v>
      </c>
      <c r="D322">
        <v>150</v>
      </c>
      <c r="E322">
        <v>200.6</v>
      </c>
      <c r="F322">
        <v>175.8</v>
      </c>
      <c r="G322">
        <v>160.69999999999999</v>
      </c>
      <c r="H322">
        <v>184.9</v>
      </c>
      <c r="I322">
        <v>153.69999999999999</v>
      </c>
      <c r="J322">
        <v>169.7</v>
      </c>
      <c r="K322">
        <v>163.69999999999999</v>
      </c>
      <c r="L322">
        <v>118.9</v>
      </c>
      <c r="M322">
        <v>174.3</v>
      </c>
      <c r="N322">
        <v>164.7</v>
      </c>
      <c r="O322">
        <v>178</v>
      </c>
      <c r="P322">
        <v>166.2</v>
      </c>
      <c r="Q322">
        <v>192.8</v>
      </c>
      <c r="R322">
        <v>170.8</v>
      </c>
      <c r="S322">
        <v>162.4</v>
      </c>
      <c r="T322">
        <v>169.6</v>
      </c>
      <c r="U322">
        <v>165.5</v>
      </c>
      <c r="V322">
        <v>165.7</v>
      </c>
      <c r="W322">
        <v>161.80000000000001</v>
      </c>
      <c r="X322">
        <v>172.2</v>
      </c>
      <c r="Y322">
        <v>156.9</v>
      </c>
      <c r="Z322">
        <v>162.1</v>
      </c>
      <c r="AA322">
        <v>165.4</v>
      </c>
      <c r="AB322">
        <v>164.4</v>
      </c>
      <c r="AC322">
        <v>163.5</v>
      </c>
      <c r="AD322" t="str">
        <f>C322 &amp; " "  &amp; B322</f>
        <v>February 2022</v>
      </c>
      <c r="AE322" s="3">
        <f>(AF322-AF286)/AF286</f>
        <v>6.066411238825032E-2</v>
      </c>
      <c r="AF322">
        <v>166.1</v>
      </c>
    </row>
    <row r="323" spans="1:32" hidden="1" x14ac:dyDescent="0.3">
      <c r="A323" t="s">
        <v>50</v>
      </c>
      <c r="B323">
        <v>2022</v>
      </c>
      <c r="C323" t="s">
        <v>56</v>
      </c>
      <c r="D323">
        <v>150.19999999999999</v>
      </c>
      <c r="E323">
        <v>208</v>
      </c>
      <c r="F323">
        <v>167.9</v>
      </c>
      <c r="G323">
        <v>162</v>
      </c>
      <c r="H323">
        <v>203.1</v>
      </c>
      <c r="I323">
        <v>155.9</v>
      </c>
      <c r="J323">
        <v>155.80000000000001</v>
      </c>
      <c r="K323">
        <v>164.2</v>
      </c>
      <c r="L323">
        <v>118.1</v>
      </c>
      <c r="M323">
        <v>178.7</v>
      </c>
      <c r="N323">
        <v>171.2</v>
      </c>
      <c r="O323">
        <v>177.4</v>
      </c>
      <c r="P323">
        <v>166.6</v>
      </c>
      <c r="Q323">
        <v>192.3</v>
      </c>
      <c r="R323">
        <v>175.4</v>
      </c>
      <c r="S323">
        <v>173.2</v>
      </c>
      <c r="T323">
        <v>175.1</v>
      </c>
      <c r="U323">
        <f>AVERAGE(U321:U322)</f>
        <v>165.5</v>
      </c>
      <c r="V323">
        <v>168.9</v>
      </c>
      <c r="W323">
        <v>166.5</v>
      </c>
      <c r="X323">
        <v>176</v>
      </c>
      <c r="Y323">
        <v>162</v>
      </c>
      <c r="Z323">
        <v>166.6</v>
      </c>
      <c r="AA323">
        <v>170.6</v>
      </c>
      <c r="AB323">
        <v>167.4</v>
      </c>
      <c r="AC323">
        <v>168.3</v>
      </c>
      <c r="AF323">
        <v>168.7</v>
      </c>
    </row>
    <row r="324" spans="1:32" hidden="1" x14ac:dyDescent="0.3">
      <c r="A324" t="s">
        <v>53</v>
      </c>
      <c r="B324">
        <v>2022</v>
      </c>
      <c r="C324" t="s">
        <v>56</v>
      </c>
      <c r="D324">
        <v>153.69999999999999</v>
      </c>
      <c r="E324">
        <v>215.8</v>
      </c>
      <c r="F324">
        <v>167.7</v>
      </c>
      <c r="G324">
        <v>162.6</v>
      </c>
      <c r="H324">
        <v>180</v>
      </c>
      <c r="I324">
        <v>159.6</v>
      </c>
      <c r="J324">
        <v>188.4</v>
      </c>
      <c r="K324">
        <v>163.4</v>
      </c>
      <c r="L324">
        <v>120.3</v>
      </c>
      <c r="M324">
        <v>174.7</v>
      </c>
      <c r="N324">
        <v>157.1</v>
      </c>
      <c r="O324">
        <v>181.5</v>
      </c>
      <c r="P324">
        <v>171.5</v>
      </c>
      <c r="Q324">
        <v>197.5</v>
      </c>
      <c r="R324">
        <v>167.1</v>
      </c>
      <c r="S324">
        <v>152.6</v>
      </c>
      <c r="T324">
        <v>164.9</v>
      </c>
      <c r="U324">
        <v>165.3</v>
      </c>
      <c r="V324">
        <v>164.5</v>
      </c>
      <c r="W324">
        <v>158.6</v>
      </c>
      <c r="X324">
        <v>168.2</v>
      </c>
      <c r="Y324">
        <v>154.19999999999999</v>
      </c>
      <c r="Z324">
        <v>160.80000000000001</v>
      </c>
      <c r="AA324">
        <v>162.69999999999999</v>
      </c>
      <c r="AB324">
        <v>166.8</v>
      </c>
      <c r="AC324">
        <v>160.6</v>
      </c>
      <c r="AF324">
        <v>166.5</v>
      </c>
    </row>
    <row r="325" spans="1:32" x14ac:dyDescent="0.3">
      <c r="A325" t="s">
        <v>54</v>
      </c>
      <c r="B325">
        <v>2022</v>
      </c>
      <c r="C325" t="s">
        <v>56</v>
      </c>
      <c r="D325">
        <v>151.30000000000001</v>
      </c>
      <c r="E325">
        <v>210.7</v>
      </c>
      <c r="F325">
        <v>167.8</v>
      </c>
      <c r="G325">
        <v>162.19999999999999</v>
      </c>
      <c r="H325">
        <v>194.6</v>
      </c>
      <c r="I325">
        <v>157.6</v>
      </c>
      <c r="J325">
        <v>166.9</v>
      </c>
      <c r="K325">
        <v>163.9</v>
      </c>
      <c r="L325">
        <v>118.8</v>
      </c>
      <c r="M325">
        <v>177.4</v>
      </c>
      <c r="N325">
        <v>165.3</v>
      </c>
      <c r="O325">
        <v>179.3</v>
      </c>
      <c r="P325">
        <v>168.4</v>
      </c>
      <c r="Q325">
        <v>193.7</v>
      </c>
      <c r="R325">
        <v>172.1</v>
      </c>
      <c r="S325">
        <v>164.6</v>
      </c>
      <c r="T325">
        <v>171.1</v>
      </c>
      <c r="U325">
        <v>165.3</v>
      </c>
      <c r="V325">
        <v>167.2</v>
      </c>
      <c r="W325">
        <v>162.80000000000001</v>
      </c>
      <c r="X325">
        <v>173</v>
      </c>
      <c r="Y325">
        <v>157.9</v>
      </c>
      <c r="Z325">
        <v>163.30000000000001</v>
      </c>
      <c r="AA325">
        <v>166</v>
      </c>
      <c r="AB325">
        <v>167.2</v>
      </c>
      <c r="AC325">
        <v>164.6</v>
      </c>
      <c r="AD325" t="str">
        <f>C325 &amp; " "  &amp; B325</f>
        <v>March 2022</v>
      </c>
      <c r="AE325" s="3">
        <f>(AF325-AF289)/AF289</f>
        <v>6.9515306122448828E-2</v>
      </c>
      <c r="AF325">
        <v>167.7</v>
      </c>
    </row>
    <row r="326" spans="1:32" hidden="1" x14ac:dyDescent="0.3">
      <c r="A326" t="s">
        <v>50</v>
      </c>
      <c r="B326">
        <v>2022</v>
      </c>
      <c r="C326" t="s">
        <v>57</v>
      </c>
      <c r="D326">
        <v>151.80000000000001</v>
      </c>
      <c r="E326">
        <v>209.7</v>
      </c>
      <c r="F326">
        <v>164.5</v>
      </c>
      <c r="G326">
        <v>163.80000000000001</v>
      </c>
      <c r="H326">
        <v>207.4</v>
      </c>
      <c r="I326">
        <v>169.7</v>
      </c>
      <c r="J326">
        <v>153.6</v>
      </c>
      <c r="K326">
        <v>165.1</v>
      </c>
      <c r="L326">
        <v>118.2</v>
      </c>
      <c r="M326">
        <v>182.9</v>
      </c>
      <c r="N326">
        <v>172.4</v>
      </c>
      <c r="O326">
        <v>178.9</v>
      </c>
      <c r="P326">
        <v>168.6</v>
      </c>
      <c r="Q326">
        <v>192.8</v>
      </c>
      <c r="R326">
        <v>177.5</v>
      </c>
      <c r="S326">
        <v>175.1</v>
      </c>
      <c r="T326">
        <v>177.1</v>
      </c>
      <c r="U326">
        <f>AVERAGE(U324:U325)</f>
        <v>165.3</v>
      </c>
      <c r="V326">
        <v>173.3</v>
      </c>
      <c r="W326">
        <v>167.7</v>
      </c>
      <c r="X326">
        <v>177</v>
      </c>
      <c r="Y326">
        <v>166.2</v>
      </c>
      <c r="Z326">
        <v>167.2</v>
      </c>
      <c r="AA326">
        <v>170.9</v>
      </c>
      <c r="AB326">
        <v>169</v>
      </c>
      <c r="AC326">
        <v>170.2</v>
      </c>
      <c r="AF326">
        <v>170.8</v>
      </c>
    </row>
    <row r="327" spans="1:32" hidden="1" x14ac:dyDescent="0.3">
      <c r="A327" t="s">
        <v>53</v>
      </c>
      <c r="B327">
        <v>2022</v>
      </c>
      <c r="C327" t="s">
        <v>57</v>
      </c>
      <c r="D327">
        <v>155.4</v>
      </c>
      <c r="E327">
        <v>215.8</v>
      </c>
      <c r="F327">
        <v>164.6</v>
      </c>
      <c r="G327">
        <v>164.2</v>
      </c>
      <c r="H327">
        <v>186</v>
      </c>
      <c r="I327">
        <v>175.9</v>
      </c>
      <c r="J327">
        <v>190.7</v>
      </c>
      <c r="K327">
        <v>164</v>
      </c>
      <c r="L327">
        <v>120.5</v>
      </c>
      <c r="M327">
        <v>178</v>
      </c>
      <c r="N327">
        <v>157.5</v>
      </c>
      <c r="O327">
        <v>183.3</v>
      </c>
      <c r="P327">
        <v>174.5</v>
      </c>
      <c r="Q327">
        <v>197.1</v>
      </c>
      <c r="R327">
        <v>168.4</v>
      </c>
      <c r="S327">
        <v>154.5</v>
      </c>
      <c r="T327">
        <v>166.3</v>
      </c>
      <c r="U327">
        <v>167</v>
      </c>
      <c r="V327">
        <v>170.5</v>
      </c>
      <c r="W327">
        <v>159.80000000000001</v>
      </c>
      <c r="X327">
        <v>169</v>
      </c>
      <c r="Y327">
        <v>159.30000000000001</v>
      </c>
      <c r="Z327">
        <v>162.19999999999999</v>
      </c>
      <c r="AA327">
        <v>164</v>
      </c>
      <c r="AB327">
        <v>168.4</v>
      </c>
      <c r="AC327">
        <v>163.1</v>
      </c>
      <c r="AF327">
        <v>169.2</v>
      </c>
    </row>
    <row r="328" spans="1:32" x14ac:dyDescent="0.3">
      <c r="A328" t="s">
        <v>54</v>
      </c>
      <c r="B328">
        <v>2022</v>
      </c>
      <c r="C328" t="s">
        <v>57</v>
      </c>
      <c r="D328">
        <v>152.9</v>
      </c>
      <c r="E328">
        <v>211.8</v>
      </c>
      <c r="F328">
        <v>164.5</v>
      </c>
      <c r="G328">
        <v>163.9</v>
      </c>
      <c r="H328">
        <v>199.5</v>
      </c>
      <c r="I328">
        <v>172.6</v>
      </c>
      <c r="J328">
        <v>166.2</v>
      </c>
      <c r="K328">
        <v>164.7</v>
      </c>
      <c r="L328">
        <v>119</v>
      </c>
      <c r="M328">
        <v>181.3</v>
      </c>
      <c r="N328">
        <v>166.2</v>
      </c>
      <c r="O328">
        <v>180.9</v>
      </c>
      <c r="P328">
        <v>170.8</v>
      </c>
      <c r="Q328">
        <v>193.9</v>
      </c>
      <c r="R328">
        <v>173.9</v>
      </c>
      <c r="S328">
        <v>166.5</v>
      </c>
      <c r="T328">
        <v>172.8</v>
      </c>
      <c r="U328">
        <v>167</v>
      </c>
      <c r="V328">
        <v>172.2</v>
      </c>
      <c r="W328">
        <v>164</v>
      </c>
      <c r="X328">
        <v>174</v>
      </c>
      <c r="Y328">
        <v>162.6</v>
      </c>
      <c r="Z328">
        <v>164.4</v>
      </c>
      <c r="AA328">
        <v>166.9</v>
      </c>
      <c r="AB328">
        <v>168.8</v>
      </c>
      <c r="AC328">
        <v>166.8</v>
      </c>
      <c r="AD328" t="str">
        <f>C328 &amp; " "  &amp; B328</f>
        <v>April 2022</v>
      </c>
      <c r="AE328" s="3">
        <f>(AF328-AF292)/AF292</f>
        <v>7.7946768060836391E-2</v>
      </c>
      <c r="AF328">
        <v>170.1</v>
      </c>
    </row>
    <row r="329" spans="1:32" hidden="1" x14ac:dyDescent="0.3">
      <c r="A329" t="s">
        <v>50</v>
      </c>
      <c r="B329">
        <v>2022</v>
      </c>
      <c r="C329" t="s">
        <v>58</v>
      </c>
      <c r="D329">
        <v>152.9</v>
      </c>
      <c r="E329">
        <v>214.7</v>
      </c>
      <c r="F329">
        <v>161.4</v>
      </c>
      <c r="G329">
        <v>164.6</v>
      </c>
      <c r="H329">
        <v>209.9</v>
      </c>
      <c r="I329">
        <v>168</v>
      </c>
      <c r="J329">
        <v>160.4</v>
      </c>
      <c r="K329">
        <v>165</v>
      </c>
      <c r="L329">
        <v>118.9</v>
      </c>
      <c r="M329">
        <v>186.6</v>
      </c>
      <c r="N329">
        <v>173.2</v>
      </c>
      <c r="O329">
        <v>180.4</v>
      </c>
      <c r="P329">
        <v>170.8</v>
      </c>
      <c r="Q329">
        <v>192.9</v>
      </c>
      <c r="R329">
        <v>179.3</v>
      </c>
      <c r="S329">
        <v>177.2</v>
      </c>
      <c r="T329">
        <v>179</v>
      </c>
      <c r="U329">
        <f>AVERAGE(U327:U328)</f>
        <v>167</v>
      </c>
      <c r="V329">
        <v>175.3</v>
      </c>
      <c r="W329">
        <v>168.9</v>
      </c>
      <c r="X329">
        <v>177.7</v>
      </c>
      <c r="Y329">
        <v>167.1</v>
      </c>
      <c r="Z329">
        <v>167.6</v>
      </c>
      <c r="AA329">
        <v>171.8</v>
      </c>
      <c r="AB329">
        <v>168.5</v>
      </c>
      <c r="AC329">
        <v>170.9</v>
      </c>
      <c r="AF329">
        <v>172.5</v>
      </c>
    </row>
    <row r="330" spans="1:32" hidden="1" x14ac:dyDescent="0.3">
      <c r="A330" t="s">
        <v>53</v>
      </c>
      <c r="B330">
        <v>2022</v>
      </c>
      <c r="C330" t="s">
        <v>58</v>
      </c>
      <c r="D330">
        <v>156.69999999999999</v>
      </c>
      <c r="E330">
        <v>221.2</v>
      </c>
      <c r="F330">
        <v>164.1</v>
      </c>
      <c r="G330">
        <v>165.4</v>
      </c>
      <c r="H330">
        <v>189.5</v>
      </c>
      <c r="I330">
        <v>174.5</v>
      </c>
      <c r="J330">
        <v>203.2</v>
      </c>
      <c r="K330">
        <v>164.1</v>
      </c>
      <c r="L330">
        <v>121.2</v>
      </c>
      <c r="M330">
        <v>181.4</v>
      </c>
      <c r="N330">
        <v>158.5</v>
      </c>
      <c r="O330">
        <v>184.9</v>
      </c>
      <c r="P330">
        <v>177.5</v>
      </c>
      <c r="Q330">
        <v>197.5</v>
      </c>
      <c r="R330">
        <v>170</v>
      </c>
      <c r="S330">
        <v>155.9</v>
      </c>
      <c r="T330">
        <v>167.8</v>
      </c>
      <c r="U330">
        <v>167.5</v>
      </c>
      <c r="V330">
        <v>173.5</v>
      </c>
      <c r="W330">
        <v>161.1</v>
      </c>
      <c r="X330">
        <v>170.1</v>
      </c>
      <c r="Y330">
        <v>159.4</v>
      </c>
      <c r="Z330">
        <v>163.19999999999999</v>
      </c>
      <c r="AA330">
        <v>165.2</v>
      </c>
      <c r="AB330">
        <v>168.2</v>
      </c>
      <c r="AC330">
        <v>163.80000000000001</v>
      </c>
      <c r="AF330">
        <v>170.8</v>
      </c>
    </row>
    <row r="331" spans="1:32" x14ac:dyDescent="0.3">
      <c r="A331" t="s">
        <v>54</v>
      </c>
      <c r="B331">
        <v>2022</v>
      </c>
      <c r="C331" t="s">
        <v>58</v>
      </c>
      <c r="D331">
        <v>154.1</v>
      </c>
      <c r="E331">
        <v>217</v>
      </c>
      <c r="F331">
        <v>162.4</v>
      </c>
      <c r="G331">
        <v>164.9</v>
      </c>
      <c r="H331">
        <v>202.4</v>
      </c>
      <c r="I331">
        <v>171</v>
      </c>
      <c r="J331">
        <v>174.9</v>
      </c>
      <c r="K331">
        <v>164.7</v>
      </c>
      <c r="L331">
        <v>119.7</v>
      </c>
      <c r="M331">
        <v>184.9</v>
      </c>
      <c r="N331">
        <v>167.1</v>
      </c>
      <c r="O331">
        <v>182.5</v>
      </c>
      <c r="P331">
        <v>173.3</v>
      </c>
      <c r="Q331">
        <v>194.1</v>
      </c>
      <c r="R331">
        <v>175.6</v>
      </c>
      <c r="S331">
        <v>168.4</v>
      </c>
      <c r="T331">
        <v>174.6</v>
      </c>
      <c r="U331">
        <v>167.5</v>
      </c>
      <c r="V331">
        <v>174.6</v>
      </c>
      <c r="W331">
        <v>165.2</v>
      </c>
      <c r="X331">
        <v>174.8</v>
      </c>
      <c r="Y331">
        <v>163</v>
      </c>
      <c r="Z331">
        <v>165.1</v>
      </c>
      <c r="AA331">
        <v>167.9</v>
      </c>
      <c r="AB331">
        <v>168.4</v>
      </c>
      <c r="AC331">
        <v>167.5</v>
      </c>
      <c r="AD331" t="str">
        <f>C331 &amp; " "  &amp; B331</f>
        <v>May 2022</v>
      </c>
      <c r="AE331" s="3">
        <f>(AF331-AF295)/AF295</f>
        <v>7.0448877805486171E-2</v>
      </c>
      <c r="AF331">
        <v>171.7</v>
      </c>
    </row>
    <row r="332" spans="1:32" hidden="1" x14ac:dyDescent="0.3">
      <c r="A332" t="s">
        <v>50</v>
      </c>
      <c r="B332">
        <v>2022</v>
      </c>
      <c r="C332" t="s">
        <v>59</v>
      </c>
      <c r="D332">
        <v>153.80000000000001</v>
      </c>
      <c r="E332">
        <v>217.2</v>
      </c>
      <c r="F332">
        <v>169.6</v>
      </c>
      <c r="G332">
        <v>165.4</v>
      </c>
      <c r="H332">
        <v>208.1</v>
      </c>
      <c r="I332">
        <v>165.8</v>
      </c>
      <c r="J332">
        <v>167.3</v>
      </c>
      <c r="K332">
        <v>164.6</v>
      </c>
      <c r="L332">
        <v>119.1</v>
      </c>
      <c r="M332">
        <v>188.9</v>
      </c>
      <c r="N332">
        <v>174.2</v>
      </c>
      <c r="O332">
        <v>181.9</v>
      </c>
      <c r="P332">
        <v>172.4</v>
      </c>
      <c r="Q332">
        <v>192.9</v>
      </c>
      <c r="R332">
        <v>180.7</v>
      </c>
      <c r="S332">
        <v>178.7</v>
      </c>
      <c r="T332">
        <v>180.4</v>
      </c>
      <c r="U332">
        <f>AVERAGE(U330:U331)</f>
        <v>167.5</v>
      </c>
      <c r="V332">
        <v>176.7</v>
      </c>
      <c r="W332">
        <v>170.3</v>
      </c>
      <c r="X332">
        <v>178.2</v>
      </c>
      <c r="Y332">
        <v>165.5</v>
      </c>
      <c r="Z332">
        <v>168</v>
      </c>
      <c r="AA332">
        <v>172.6</v>
      </c>
      <c r="AB332">
        <v>169.5</v>
      </c>
      <c r="AC332">
        <v>171</v>
      </c>
      <c r="AF332">
        <v>173.6</v>
      </c>
    </row>
    <row r="333" spans="1:32" hidden="1" x14ac:dyDescent="0.3">
      <c r="A333" t="s">
        <v>53</v>
      </c>
      <c r="B333">
        <v>2022</v>
      </c>
      <c r="C333" t="s">
        <v>59</v>
      </c>
      <c r="D333">
        <v>157.5</v>
      </c>
      <c r="E333">
        <v>223.4</v>
      </c>
      <c r="F333">
        <v>172.8</v>
      </c>
      <c r="G333">
        <v>166.4</v>
      </c>
      <c r="H333">
        <v>188.6</v>
      </c>
      <c r="I333">
        <v>174.1</v>
      </c>
      <c r="J333">
        <v>211.5</v>
      </c>
      <c r="K333">
        <v>163.6</v>
      </c>
      <c r="L333">
        <v>121.4</v>
      </c>
      <c r="M333">
        <v>183.5</v>
      </c>
      <c r="N333">
        <v>159.1</v>
      </c>
      <c r="O333">
        <v>186.3</v>
      </c>
      <c r="P333">
        <v>179.3</v>
      </c>
      <c r="Q333">
        <v>198.3</v>
      </c>
      <c r="R333">
        <v>171.6</v>
      </c>
      <c r="S333">
        <v>157.4</v>
      </c>
      <c r="T333">
        <v>169.4</v>
      </c>
      <c r="U333">
        <v>166.8</v>
      </c>
      <c r="V333">
        <v>174.9</v>
      </c>
      <c r="W333">
        <v>162.1</v>
      </c>
      <c r="X333">
        <v>170.9</v>
      </c>
      <c r="Y333">
        <v>157.19999999999999</v>
      </c>
      <c r="Z333">
        <v>164.1</v>
      </c>
      <c r="AA333">
        <v>166.5</v>
      </c>
      <c r="AB333">
        <v>169.2</v>
      </c>
      <c r="AC333">
        <v>163.80000000000001</v>
      </c>
      <c r="AF333">
        <v>171.4</v>
      </c>
    </row>
    <row r="334" spans="1:32" x14ac:dyDescent="0.3">
      <c r="A334" t="s">
        <v>54</v>
      </c>
      <c r="B334">
        <v>2022</v>
      </c>
      <c r="C334" t="s">
        <v>59</v>
      </c>
      <c r="D334">
        <v>155</v>
      </c>
      <c r="E334">
        <v>219.4</v>
      </c>
      <c r="F334">
        <v>170.8</v>
      </c>
      <c r="G334">
        <v>165.8</v>
      </c>
      <c r="H334">
        <v>200.9</v>
      </c>
      <c r="I334">
        <v>169.7</v>
      </c>
      <c r="J334">
        <v>182.3</v>
      </c>
      <c r="K334">
        <v>164.3</v>
      </c>
      <c r="L334">
        <v>119.9</v>
      </c>
      <c r="M334">
        <v>187.1</v>
      </c>
      <c r="N334">
        <v>167.9</v>
      </c>
      <c r="O334">
        <v>183.9</v>
      </c>
      <c r="P334">
        <v>174.9</v>
      </c>
      <c r="Q334">
        <v>194.3</v>
      </c>
      <c r="R334">
        <v>177.1</v>
      </c>
      <c r="S334">
        <v>169.9</v>
      </c>
      <c r="T334">
        <v>176</v>
      </c>
      <c r="U334">
        <v>166.8</v>
      </c>
      <c r="V334">
        <v>176</v>
      </c>
      <c r="W334">
        <v>166.4</v>
      </c>
      <c r="X334">
        <v>175.4</v>
      </c>
      <c r="Y334">
        <v>161.1</v>
      </c>
      <c r="Z334">
        <v>165.8</v>
      </c>
      <c r="AA334">
        <v>169</v>
      </c>
      <c r="AB334">
        <v>169.4</v>
      </c>
      <c r="AC334">
        <v>167.5</v>
      </c>
      <c r="AD334" t="str">
        <f>C334 &amp; " "  &amp; B334</f>
        <v>June 2022</v>
      </c>
      <c r="AE334" s="3">
        <f>(AF334-AF298)/AF298</f>
        <v>7.0055796652200755E-2</v>
      </c>
      <c r="AF334">
        <v>172.6</v>
      </c>
    </row>
    <row r="335" spans="1:32" hidden="1" x14ac:dyDescent="0.3">
      <c r="A335" t="s">
        <v>50</v>
      </c>
      <c r="B335">
        <v>2022</v>
      </c>
      <c r="C335" t="s">
        <v>60</v>
      </c>
      <c r="D335">
        <v>155.19999999999999</v>
      </c>
      <c r="E335">
        <v>210.8</v>
      </c>
      <c r="F335">
        <v>174.3</v>
      </c>
      <c r="G335">
        <v>166.3</v>
      </c>
      <c r="H335">
        <v>202.2</v>
      </c>
      <c r="I335">
        <v>169.6</v>
      </c>
      <c r="J335">
        <v>168.6</v>
      </c>
      <c r="K335">
        <v>164.4</v>
      </c>
      <c r="L335">
        <v>119.2</v>
      </c>
      <c r="M335">
        <v>191.8</v>
      </c>
      <c r="N335">
        <v>174.5</v>
      </c>
      <c r="O335">
        <v>183.1</v>
      </c>
      <c r="P335">
        <v>172.5</v>
      </c>
      <c r="Q335">
        <v>193.2</v>
      </c>
      <c r="R335">
        <v>182</v>
      </c>
      <c r="S335">
        <v>180.3</v>
      </c>
      <c r="T335">
        <v>181.7</v>
      </c>
      <c r="U335">
        <f>AVERAGE(U333:U334)</f>
        <v>166.8</v>
      </c>
      <c r="V335">
        <v>179.6</v>
      </c>
      <c r="W335">
        <v>171.3</v>
      </c>
      <c r="X335">
        <v>178.8</v>
      </c>
      <c r="Y335">
        <v>166.3</v>
      </c>
      <c r="Z335">
        <v>168.6</v>
      </c>
      <c r="AA335">
        <v>174.7</v>
      </c>
      <c r="AB335">
        <v>169.7</v>
      </c>
      <c r="AC335">
        <v>171.8</v>
      </c>
      <c r="AF335">
        <v>174.3</v>
      </c>
    </row>
    <row r="336" spans="1:32" hidden="1" x14ac:dyDescent="0.3">
      <c r="A336" t="s">
        <v>53</v>
      </c>
      <c r="B336">
        <v>2022</v>
      </c>
      <c r="C336" t="s">
        <v>60</v>
      </c>
      <c r="D336">
        <v>159.30000000000001</v>
      </c>
      <c r="E336">
        <v>217.1</v>
      </c>
      <c r="F336">
        <v>176.6</v>
      </c>
      <c r="G336">
        <v>167.1</v>
      </c>
      <c r="H336">
        <v>184.8</v>
      </c>
      <c r="I336">
        <v>179.5</v>
      </c>
      <c r="J336">
        <v>208.5</v>
      </c>
      <c r="K336">
        <v>164</v>
      </c>
      <c r="L336">
        <v>121.5</v>
      </c>
      <c r="M336">
        <v>186.3</v>
      </c>
      <c r="N336">
        <v>159.80000000000001</v>
      </c>
      <c r="O336">
        <v>187.7</v>
      </c>
      <c r="P336">
        <v>179.4</v>
      </c>
      <c r="Q336">
        <v>198.6</v>
      </c>
      <c r="R336">
        <v>172.7</v>
      </c>
      <c r="S336">
        <v>158.69999999999999</v>
      </c>
      <c r="T336">
        <v>170.6</v>
      </c>
      <c r="U336">
        <v>167.8</v>
      </c>
      <c r="V336">
        <v>179.5</v>
      </c>
      <c r="W336">
        <v>163.1</v>
      </c>
      <c r="X336">
        <v>171.7</v>
      </c>
      <c r="Y336">
        <v>157.4</v>
      </c>
      <c r="Z336">
        <v>164.6</v>
      </c>
      <c r="AA336">
        <v>169.1</v>
      </c>
      <c r="AB336">
        <v>169.8</v>
      </c>
      <c r="AC336">
        <v>164.7</v>
      </c>
      <c r="AF336">
        <v>172.3</v>
      </c>
    </row>
    <row r="337" spans="1:32" x14ac:dyDescent="0.3">
      <c r="A337" t="s">
        <v>54</v>
      </c>
      <c r="B337">
        <v>2022</v>
      </c>
      <c r="C337" t="s">
        <v>60</v>
      </c>
      <c r="D337">
        <v>156.5</v>
      </c>
      <c r="E337">
        <v>213</v>
      </c>
      <c r="F337">
        <v>175.2</v>
      </c>
      <c r="G337">
        <v>166.6</v>
      </c>
      <c r="H337">
        <v>195.8</v>
      </c>
      <c r="I337">
        <v>174.2</v>
      </c>
      <c r="J337">
        <v>182.1</v>
      </c>
      <c r="K337">
        <v>164.3</v>
      </c>
      <c r="L337">
        <v>120</v>
      </c>
      <c r="M337">
        <v>190</v>
      </c>
      <c r="N337">
        <v>168.4</v>
      </c>
      <c r="O337">
        <v>185.2</v>
      </c>
      <c r="P337">
        <v>175</v>
      </c>
      <c r="Q337">
        <v>194.6</v>
      </c>
      <c r="R337">
        <v>178.3</v>
      </c>
      <c r="S337">
        <v>171.3</v>
      </c>
      <c r="T337">
        <v>177.3</v>
      </c>
      <c r="U337">
        <v>167.8</v>
      </c>
      <c r="V337">
        <v>179.6</v>
      </c>
      <c r="W337">
        <v>167.4</v>
      </c>
      <c r="X337">
        <v>176.1</v>
      </c>
      <c r="Y337">
        <v>161.6</v>
      </c>
      <c r="Z337">
        <v>166.3</v>
      </c>
      <c r="AA337">
        <v>171.4</v>
      </c>
      <c r="AB337">
        <v>169.7</v>
      </c>
      <c r="AC337">
        <v>168.4</v>
      </c>
      <c r="AD337" t="str">
        <f>C337 &amp; " "  &amp; B337</f>
        <v>July 2022</v>
      </c>
      <c r="AE337" s="3">
        <f>(AF337-AF301)/AF301</f>
        <v>6.7076923076923117E-2</v>
      </c>
      <c r="AF337">
        <v>173.4</v>
      </c>
    </row>
    <row r="338" spans="1:32" hidden="1" x14ac:dyDescent="0.3">
      <c r="A338" t="s">
        <v>50</v>
      </c>
      <c r="B338">
        <v>2022</v>
      </c>
      <c r="C338" t="s">
        <v>61</v>
      </c>
      <c r="D338">
        <v>159.5</v>
      </c>
      <c r="E338">
        <v>204.1</v>
      </c>
      <c r="F338">
        <v>168.3</v>
      </c>
      <c r="G338">
        <v>167.9</v>
      </c>
      <c r="H338">
        <v>198.1</v>
      </c>
      <c r="I338">
        <v>169.2</v>
      </c>
      <c r="J338">
        <v>173.1</v>
      </c>
      <c r="K338">
        <v>167.1</v>
      </c>
      <c r="L338">
        <v>120.2</v>
      </c>
      <c r="M338">
        <v>195.6</v>
      </c>
      <c r="N338">
        <v>174.8</v>
      </c>
      <c r="O338">
        <v>184</v>
      </c>
      <c r="P338">
        <v>173.9</v>
      </c>
      <c r="Q338">
        <v>193.7</v>
      </c>
      <c r="R338">
        <v>183.2</v>
      </c>
      <c r="S338">
        <v>181.7</v>
      </c>
      <c r="T338">
        <v>183</v>
      </c>
      <c r="U338">
        <f>AVERAGE(U336:U337)</f>
        <v>167.8</v>
      </c>
      <c r="V338">
        <v>179.1</v>
      </c>
      <c r="W338">
        <v>172.3</v>
      </c>
      <c r="X338">
        <v>179.4</v>
      </c>
      <c r="Y338">
        <v>166.6</v>
      </c>
      <c r="Z338">
        <v>169.3</v>
      </c>
      <c r="AA338">
        <v>175.7</v>
      </c>
      <c r="AB338">
        <v>171.1</v>
      </c>
      <c r="AC338">
        <v>172.6</v>
      </c>
      <c r="AF338">
        <v>175.3</v>
      </c>
    </row>
    <row r="339" spans="1:32" hidden="1" x14ac:dyDescent="0.3">
      <c r="A339" t="s">
        <v>53</v>
      </c>
      <c r="B339">
        <v>2022</v>
      </c>
      <c r="C339" t="s">
        <v>61</v>
      </c>
      <c r="D339">
        <v>162.1</v>
      </c>
      <c r="E339">
        <v>210.9</v>
      </c>
      <c r="F339">
        <v>170.6</v>
      </c>
      <c r="G339">
        <v>168.4</v>
      </c>
      <c r="H339">
        <v>182.5</v>
      </c>
      <c r="I339">
        <v>177.1</v>
      </c>
      <c r="J339">
        <v>213.1</v>
      </c>
      <c r="K339">
        <v>167.3</v>
      </c>
      <c r="L339">
        <v>122.2</v>
      </c>
      <c r="M339">
        <v>189.7</v>
      </c>
      <c r="N339">
        <v>160.5</v>
      </c>
      <c r="O339">
        <v>188.9</v>
      </c>
      <c r="P339">
        <v>180.4</v>
      </c>
      <c r="Q339">
        <v>198.7</v>
      </c>
      <c r="R339">
        <v>173.7</v>
      </c>
      <c r="S339">
        <v>160</v>
      </c>
      <c r="T339">
        <v>171.6</v>
      </c>
      <c r="U339">
        <v>169</v>
      </c>
      <c r="V339">
        <v>178.4</v>
      </c>
      <c r="W339">
        <v>164.2</v>
      </c>
      <c r="X339">
        <v>172.6</v>
      </c>
      <c r="Y339">
        <v>157.69999999999999</v>
      </c>
      <c r="Z339">
        <v>165.1</v>
      </c>
      <c r="AA339">
        <v>169.9</v>
      </c>
      <c r="AB339">
        <v>171.4</v>
      </c>
      <c r="AC339">
        <v>165.4</v>
      </c>
      <c r="AF339">
        <v>173.1</v>
      </c>
    </row>
    <row r="340" spans="1:32" x14ac:dyDescent="0.3">
      <c r="A340" t="s">
        <v>54</v>
      </c>
      <c r="B340">
        <v>2022</v>
      </c>
      <c r="C340" t="s">
        <v>61</v>
      </c>
      <c r="D340">
        <v>160.30000000000001</v>
      </c>
      <c r="E340">
        <v>206.5</v>
      </c>
      <c r="F340">
        <v>169.2</v>
      </c>
      <c r="G340">
        <v>168.1</v>
      </c>
      <c r="H340">
        <v>192.4</v>
      </c>
      <c r="I340">
        <v>172.9</v>
      </c>
      <c r="J340">
        <v>186.7</v>
      </c>
      <c r="K340">
        <v>167.2</v>
      </c>
      <c r="L340">
        <v>120.9</v>
      </c>
      <c r="M340">
        <v>193.6</v>
      </c>
      <c r="N340">
        <v>168.8</v>
      </c>
      <c r="O340">
        <v>186.3</v>
      </c>
      <c r="P340">
        <v>176.3</v>
      </c>
      <c r="Q340">
        <v>195</v>
      </c>
      <c r="R340">
        <v>179.5</v>
      </c>
      <c r="S340">
        <v>172.7</v>
      </c>
      <c r="T340">
        <v>178.5</v>
      </c>
      <c r="U340">
        <v>169</v>
      </c>
      <c r="V340">
        <v>178.8</v>
      </c>
      <c r="W340">
        <v>168.5</v>
      </c>
      <c r="X340">
        <v>176.8</v>
      </c>
      <c r="Y340">
        <v>161.9</v>
      </c>
      <c r="Z340">
        <v>166.9</v>
      </c>
      <c r="AA340">
        <v>172.3</v>
      </c>
      <c r="AB340">
        <v>171.2</v>
      </c>
      <c r="AC340">
        <v>169.1</v>
      </c>
      <c r="AD340" t="str">
        <f>C340 &amp; " "  &amp; B340</f>
        <v>August 2022</v>
      </c>
      <c r="AE340" s="3">
        <f>(AF340-AF304)/AF304</f>
        <v>6.8014705882353088E-2</v>
      </c>
      <c r="AF340">
        <v>174.3</v>
      </c>
    </row>
    <row r="341" spans="1:32" hidden="1" x14ac:dyDescent="0.3">
      <c r="A341" t="s">
        <v>50</v>
      </c>
      <c r="B341">
        <v>2022</v>
      </c>
      <c r="C341" t="s">
        <v>62</v>
      </c>
      <c r="D341">
        <v>162.9</v>
      </c>
      <c r="E341">
        <v>206.7</v>
      </c>
      <c r="F341">
        <v>169</v>
      </c>
      <c r="G341">
        <v>169.5</v>
      </c>
      <c r="H341">
        <v>194.1</v>
      </c>
      <c r="I341">
        <v>164.1</v>
      </c>
      <c r="J341">
        <v>176.9</v>
      </c>
      <c r="K341">
        <v>169</v>
      </c>
      <c r="L341">
        <v>120.8</v>
      </c>
      <c r="M341">
        <v>199.1</v>
      </c>
      <c r="N341">
        <v>175.4</v>
      </c>
      <c r="O341">
        <v>184.8</v>
      </c>
      <c r="P341">
        <v>175.5</v>
      </c>
      <c r="Q341">
        <v>194.5</v>
      </c>
      <c r="R341">
        <v>184.7</v>
      </c>
      <c r="S341">
        <v>183.3</v>
      </c>
      <c r="T341">
        <v>184.5</v>
      </c>
      <c r="U341">
        <f>AVERAGE(U339:U340)</f>
        <v>169</v>
      </c>
      <c r="V341">
        <v>179.7</v>
      </c>
      <c r="W341">
        <v>173.6</v>
      </c>
      <c r="X341">
        <v>180.2</v>
      </c>
      <c r="Y341">
        <v>166.9</v>
      </c>
      <c r="Z341">
        <v>170</v>
      </c>
      <c r="AA341">
        <v>176.2</v>
      </c>
      <c r="AB341">
        <v>170.8</v>
      </c>
      <c r="AC341">
        <v>173.1</v>
      </c>
      <c r="AF341">
        <v>176.4</v>
      </c>
    </row>
    <row r="342" spans="1:32" hidden="1" x14ac:dyDescent="0.3">
      <c r="A342" t="s">
        <v>53</v>
      </c>
      <c r="B342">
        <v>2022</v>
      </c>
      <c r="C342" t="s">
        <v>62</v>
      </c>
      <c r="D342">
        <v>164.9</v>
      </c>
      <c r="E342">
        <v>213.7</v>
      </c>
      <c r="F342">
        <v>170.9</v>
      </c>
      <c r="G342">
        <v>170.1</v>
      </c>
      <c r="H342">
        <v>179.3</v>
      </c>
      <c r="I342">
        <v>167.5</v>
      </c>
      <c r="J342">
        <v>220.8</v>
      </c>
      <c r="K342">
        <v>169.2</v>
      </c>
      <c r="L342">
        <v>123.1</v>
      </c>
      <c r="M342">
        <v>193.6</v>
      </c>
      <c r="N342">
        <v>161.1</v>
      </c>
      <c r="O342">
        <v>190.4</v>
      </c>
      <c r="P342">
        <v>181.8</v>
      </c>
      <c r="Q342">
        <v>199.7</v>
      </c>
      <c r="R342">
        <v>175</v>
      </c>
      <c r="S342">
        <v>161.69999999999999</v>
      </c>
      <c r="T342">
        <v>173</v>
      </c>
      <c r="U342">
        <v>169.5</v>
      </c>
      <c r="V342">
        <v>179.2</v>
      </c>
      <c r="W342">
        <v>165</v>
      </c>
      <c r="X342">
        <v>173.8</v>
      </c>
      <c r="Y342">
        <v>158.19999999999999</v>
      </c>
      <c r="Z342">
        <v>165.8</v>
      </c>
      <c r="AA342">
        <v>170.9</v>
      </c>
      <c r="AB342">
        <v>171.1</v>
      </c>
      <c r="AC342">
        <v>166.1</v>
      </c>
      <c r="AF342">
        <v>174.1</v>
      </c>
    </row>
    <row r="343" spans="1:32" x14ac:dyDescent="0.3">
      <c r="A343" t="s">
        <v>54</v>
      </c>
      <c r="B343">
        <v>2022</v>
      </c>
      <c r="C343" t="s">
        <v>62</v>
      </c>
      <c r="D343">
        <v>163.5</v>
      </c>
      <c r="E343">
        <v>209.2</v>
      </c>
      <c r="F343">
        <v>169.7</v>
      </c>
      <c r="G343">
        <v>169.7</v>
      </c>
      <c r="H343">
        <v>188.7</v>
      </c>
      <c r="I343">
        <v>165.7</v>
      </c>
      <c r="J343">
        <v>191.8</v>
      </c>
      <c r="K343">
        <v>169.1</v>
      </c>
      <c r="L343">
        <v>121.6</v>
      </c>
      <c r="M343">
        <v>197.3</v>
      </c>
      <c r="N343">
        <v>169.4</v>
      </c>
      <c r="O343">
        <v>187.4</v>
      </c>
      <c r="P343">
        <v>177.8</v>
      </c>
      <c r="Q343">
        <v>195.9</v>
      </c>
      <c r="R343">
        <v>180.9</v>
      </c>
      <c r="S343">
        <v>174.3</v>
      </c>
      <c r="T343">
        <v>179.9</v>
      </c>
      <c r="U343">
        <v>169.5</v>
      </c>
      <c r="V343">
        <v>179.5</v>
      </c>
      <c r="W343">
        <v>169.5</v>
      </c>
      <c r="X343">
        <v>177.8</v>
      </c>
      <c r="Y343">
        <v>162.30000000000001</v>
      </c>
      <c r="Z343">
        <v>167.6</v>
      </c>
      <c r="AA343">
        <v>173.1</v>
      </c>
      <c r="AB343">
        <v>170.9</v>
      </c>
      <c r="AC343">
        <v>169.7</v>
      </c>
      <c r="AD343" t="str">
        <f>C343 &amp; " "  &amp; B343</f>
        <v>September 2022</v>
      </c>
      <c r="AE343" s="3">
        <f>(AF343-AF307)/AF307</f>
        <v>7.4142156862745237E-2</v>
      </c>
      <c r="AF343">
        <v>175.3</v>
      </c>
    </row>
    <row r="344" spans="1:32" hidden="1" x14ac:dyDescent="0.3">
      <c r="A344" t="s">
        <v>50</v>
      </c>
      <c r="B344">
        <v>2022</v>
      </c>
      <c r="C344" t="s">
        <v>63</v>
      </c>
      <c r="D344">
        <v>164.7</v>
      </c>
      <c r="E344">
        <v>208.8</v>
      </c>
      <c r="F344">
        <v>170.3</v>
      </c>
      <c r="G344">
        <v>170.9</v>
      </c>
      <c r="H344">
        <v>191.6</v>
      </c>
      <c r="I344">
        <v>162.19999999999999</v>
      </c>
      <c r="J344">
        <v>184.8</v>
      </c>
      <c r="K344">
        <v>169.7</v>
      </c>
      <c r="L344">
        <v>121.1</v>
      </c>
      <c r="M344">
        <v>201.6</v>
      </c>
      <c r="N344">
        <v>175.8</v>
      </c>
      <c r="O344">
        <v>185.6</v>
      </c>
      <c r="P344">
        <v>177.4</v>
      </c>
      <c r="Q344">
        <v>194.9</v>
      </c>
      <c r="R344">
        <v>186.1</v>
      </c>
      <c r="S344">
        <v>184.4</v>
      </c>
      <c r="T344">
        <v>185.9</v>
      </c>
      <c r="U344">
        <f>AVERAGE(U342:U343)</f>
        <v>169.5</v>
      </c>
      <c r="V344">
        <v>180.8</v>
      </c>
      <c r="W344">
        <v>174.4</v>
      </c>
      <c r="X344">
        <v>181.2</v>
      </c>
      <c r="Y344">
        <v>167.4</v>
      </c>
      <c r="Z344">
        <v>170.6</v>
      </c>
      <c r="AA344">
        <v>176.5</v>
      </c>
      <c r="AB344">
        <v>172</v>
      </c>
      <c r="AC344">
        <v>173.9</v>
      </c>
      <c r="AF344">
        <v>177.9</v>
      </c>
    </row>
    <row r="345" spans="1:32" hidden="1" x14ac:dyDescent="0.3">
      <c r="A345" t="s">
        <v>53</v>
      </c>
      <c r="B345">
        <v>2022</v>
      </c>
      <c r="C345" t="s">
        <v>63</v>
      </c>
      <c r="D345">
        <v>166.4</v>
      </c>
      <c r="E345">
        <v>214.9</v>
      </c>
      <c r="F345">
        <v>171.9</v>
      </c>
      <c r="G345">
        <v>171</v>
      </c>
      <c r="H345">
        <v>177.7</v>
      </c>
      <c r="I345">
        <v>165.7</v>
      </c>
      <c r="J345">
        <v>228.6</v>
      </c>
      <c r="K345">
        <v>169.9</v>
      </c>
      <c r="L345">
        <v>123.4</v>
      </c>
      <c r="M345">
        <v>196.4</v>
      </c>
      <c r="N345">
        <v>161.6</v>
      </c>
      <c r="O345">
        <v>191.5</v>
      </c>
      <c r="P345">
        <v>183.3</v>
      </c>
      <c r="Q345">
        <v>200.1</v>
      </c>
      <c r="R345">
        <v>175.5</v>
      </c>
      <c r="S345">
        <v>162.6</v>
      </c>
      <c r="T345">
        <v>173.6</v>
      </c>
      <c r="U345">
        <v>171.2</v>
      </c>
      <c r="V345">
        <v>180</v>
      </c>
      <c r="W345">
        <v>166</v>
      </c>
      <c r="X345">
        <v>174.7</v>
      </c>
      <c r="Y345">
        <v>158.80000000000001</v>
      </c>
      <c r="Z345">
        <v>166.3</v>
      </c>
      <c r="AA345">
        <v>171.2</v>
      </c>
      <c r="AB345">
        <v>172.3</v>
      </c>
      <c r="AC345">
        <v>166.8</v>
      </c>
      <c r="AF345">
        <v>175.3</v>
      </c>
    </row>
    <row r="346" spans="1:32" x14ac:dyDescent="0.3">
      <c r="A346" t="s">
        <v>54</v>
      </c>
      <c r="B346">
        <v>2022</v>
      </c>
      <c r="C346" t="s">
        <v>63</v>
      </c>
      <c r="D346">
        <v>165.2</v>
      </c>
      <c r="E346">
        <v>210.9</v>
      </c>
      <c r="F346">
        <v>170.9</v>
      </c>
      <c r="G346">
        <v>170.9</v>
      </c>
      <c r="H346">
        <v>186.5</v>
      </c>
      <c r="I346">
        <v>163.80000000000001</v>
      </c>
      <c r="J346">
        <v>199.7</v>
      </c>
      <c r="K346">
        <v>169.8</v>
      </c>
      <c r="L346">
        <v>121.9</v>
      </c>
      <c r="M346">
        <v>199.9</v>
      </c>
      <c r="N346">
        <v>169.9</v>
      </c>
      <c r="O346">
        <v>188.3</v>
      </c>
      <c r="P346">
        <v>179.6</v>
      </c>
      <c r="Q346">
        <v>196.3</v>
      </c>
      <c r="R346">
        <v>181.9</v>
      </c>
      <c r="S346">
        <v>175.3</v>
      </c>
      <c r="T346">
        <v>181</v>
      </c>
      <c r="U346">
        <v>171.2</v>
      </c>
      <c r="V346">
        <v>180.5</v>
      </c>
      <c r="W346">
        <v>170.4</v>
      </c>
      <c r="X346">
        <v>178.7</v>
      </c>
      <c r="Y346">
        <v>162.9</v>
      </c>
      <c r="Z346">
        <v>168.2</v>
      </c>
      <c r="AA346">
        <v>173.4</v>
      </c>
      <c r="AB346">
        <v>172.1</v>
      </c>
      <c r="AC346">
        <v>170.5</v>
      </c>
      <c r="AD346" t="str">
        <f>C346 &amp; " "  &amp; B346</f>
        <v>October 2022</v>
      </c>
      <c r="AE346" s="3">
        <f>(AF346-AF310)/AF310</f>
        <v>6.7673716012084523E-2</v>
      </c>
      <c r="AF346">
        <v>176.7</v>
      </c>
    </row>
    <row r="347" spans="1:32" hidden="1" x14ac:dyDescent="0.3">
      <c r="A347" t="s">
        <v>50</v>
      </c>
      <c r="B347">
        <v>2022</v>
      </c>
      <c r="C347" t="s">
        <v>65</v>
      </c>
      <c r="D347">
        <v>166.9</v>
      </c>
      <c r="E347">
        <v>207.2</v>
      </c>
      <c r="F347">
        <v>180.2</v>
      </c>
      <c r="G347">
        <v>172.3</v>
      </c>
      <c r="H347">
        <v>194</v>
      </c>
      <c r="I347">
        <v>159.1</v>
      </c>
      <c r="J347">
        <v>171.6</v>
      </c>
      <c r="K347">
        <v>170.2</v>
      </c>
      <c r="L347">
        <v>121.5</v>
      </c>
      <c r="M347">
        <v>204.8</v>
      </c>
      <c r="N347">
        <v>176.4</v>
      </c>
      <c r="O347">
        <v>186.9</v>
      </c>
      <c r="P347">
        <v>176.6</v>
      </c>
      <c r="Q347">
        <v>195.5</v>
      </c>
      <c r="R347">
        <v>187.2</v>
      </c>
      <c r="S347">
        <v>185.2</v>
      </c>
      <c r="T347">
        <v>186.9</v>
      </c>
      <c r="U347">
        <f>AVERAGE(U345:U346)</f>
        <v>171.2</v>
      </c>
      <c r="V347">
        <v>181.9</v>
      </c>
      <c r="W347">
        <v>175.5</v>
      </c>
      <c r="X347">
        <v>182.3</v>
      </c>
      <c r="Y347">
        <v>167.5</v>
      </c>
      <c r="Z347">
        <v>170.8</v>
      </c>
      <c r="AA347">
        <v>176.9</v>
      </c>
      <c r="AB347">
        <v>173.4</v>
      </c>
      <c r="AC347">
        <v>174.6</v>
      </c>
      <c r="AF347">
        <v>177.8</v>
      </c>
    </row>
    <row r="348" spans="1:32" hidden="1" x14ac:dyDescent="0.3">
      <c r="A348" t="s">
        <v>53</v>
      </c>
      <c r="B348">
        <v>2022</v>
      </c>
      <c r="C348" t="s">
        <v>65</v>
      </c>
      <c r="D348">
        <v>168.4</v>
      </c>
      <c r="E348">
        <v>213.4</v>
      </c>
      <c r="F348">
        <v>183.2</v>
      </c>
      <c r="G348">
        <v>172.3</v>
      </c>
      <c r="H348">
        <v>180</v>
      </c>
      <c r="I348">
        <v>162.6</v>
      </c>
      <c r="J348">
        <v>205.5</v>
      </c>
      <c r="K348">
        <v>171</v>
      </c>
      <c r="L348">
        <v>123.4</v>
      </c>
      <c r="M348">
        <v>198.8</v>
      </c>
      <c r="N348">
        <v>162.1</v>
      </c>
      <c r="O348">
        <v>192.4</v>
      </c>
      <c r="P348">
        <v>181.3</v>
      </c>
      <c r="Q348">
        <v>200.6</v>
      </c>
      <c r="R348">
        <v>176.7</v>
      </c>
      <c r="S348">
        <v>163.5</v>
      </c>
      <c r="T348">
        <v>174.7</v>
      </c>
      <c r="U348">
        <v>171.8</v>
      </c>
      <c r="V348">
        <v>180.3</v>
      </c>
      <c r="W348">
        <v>166.9</v>
      </c>
      <c r="X348">
        <v>175.8</v>
      </c>
      <c r="Y348">
        <v>158.9</v>
      </c>
      <c r="Z348">
        <v>166.7</v>
      </c>
      <c r="AA348">
        <v>171.5</v>
      </c>
      <c r="AB348">
        <v>173.8</v>
      </c>
      <c r="AC348">
        <v>167.4</v>
      </c>
      <c r="AF348">
        <v>174.1</v>
      </c>
    </row>
    <row r="349" spans="1:32" x14ac:dyDescent="0.3">
      <c r="A349" t="s">
        <v>54</v>
      </c>
      <c r="B349">
        <v>2022</v>
      </c>
      <c r="C349" t="s">
        <v>65</v>
      </c>
      <c r="D349">
        <v>167.4</v>
      </c>
      <c r="E349">
        <v>209.4</v>
      </c>
      <c r="F349">
        <v>181.4</v>
      </c>
      <c r="G349">
        <v>172.3</v>
      </c>
      <c r="H349">
        <v>188.9</v>
      </c>
      <c r="I349">
        <v>160.69999999999999</v>
      </c>
      <c r="J349">
        <v>183.1</v>
      </c>
      <c r="K349">
        <v>170.5</v>
      </c>
      <c r="L349">
        <v>122.1</v>
      </c>
      <c r="M349">
        <v>202.8</v>
      </c>
      <c r="N349">
        <v>170.4</v>
      </c>
      <c r="O349">
        <v>189.5</v>
      </c>
      <c r="P349">
        <v>178.3</v>
      </c>
      <c r="Q349">
        <v>196.9</v>
      </c>
      <c r="R349">
        <v>183.1</v>
      </c>
      <c r="S349">
        <v>176.2</v>
      </c>
      <c r="T349">
        <v>182.1</v>
      </c>
      <c r="U349">
        <v>171.8</v>
      </c>
      <c r="V349">
        <v>181.3</v>
      </c>
      <c r="W349">
        <v>171.4</v>
      </c>
      <c r="X349">
        <v>179.8</v>
      </c>
      <c r="Y349">
        <v>163</v>
      </c>
      <c r="Z349">
        <v>168.5</v>
      </c>
      <c r="AA349">
        <v>173.7</v>
      </c>
      <c r="AB349">
        <v>173.6</v>
      </c>
      <c r="AC349">
        <v>171.1</v>
      </c>
      <c r="AD349" t="str">
        <f>C349 &amp; " "  &amp; B349</f>
        <v>November 2022</v>
      </c>
      <c r="AE349" s="3">
        <f>(AF349-AF313)/AF313</f>
        <v>5.8788242351529768E-2</v>
      </c>
      <c r="AF349">
        <v>176.5</v>
      </c>
    </row>
    <row r="350" spans="1:32" hidden="1" x14ac:dyDescent="0.3">
      <c r="A350" t="s">
        <v>50</v>
      </c>
      <c r="B350">
        <v>2022</v>
      </c>
      <c r="C350" t="s">
        <v>66</v>
      </c>
      <c r="D350">
        <v>168.8</v>
      </c>
      <c r="E350">
        <v>206.9</v>
      </c>
      <c r="F350">
        <v>189.1</v>
      </c>
      <c r="G350">
        <v>173.4</v>
      </c>
      <c r="H350">
        <v>193.9</v>
      </c>
      <c r="I350">
        <v>156.69999999999999</v>
      </c>
      <c r="J350">
        <v>150.19999999999999</v>
      </c>
      <c r="K350">
        <v>170.5</v>
      </c>
      <c r="L350">
        <v>121.2</v>
      </c>
      <c r="M350">
        <v>207.5</v>
      </c>
      <c r="N350">
        <v>176.8</v>
      </c>
      <c r="O350">
        <v>187.7</v>
      </c>
      <c r="P350">
        <v>174.4</v>
      </c>
      <c r="Q350">
        <v>195.9</v>
      </c>
      <c r="R350">
        <v>188.1</v>
      </c>
      <c r="S350">
        <v>185.9</v>
      </c>
      <c r="T350">
        <v>187.8</v>
      </c>
      <c r="U350">
        <f>AVERAGE(U348:U349)</f>
        <v>171.8</v>
      </c>
      <c r="V350">
        <v>182.8</v>
      </c>
      <c r="W350">
        <v>176.4</v>
      </c>
      <c r="X350">
        <v>183.5</v>
      </c>
      <c r="Y350">
        <v>167.8</v>
      </c>
      <c r="Z350">
        <v>171.2</v>
      </c>
      <c r="AA350">
        <v>177.3</v>
      </c>
      <c r="AB350">
        <v>175.7</v>
      </c>
      <c r="AC350">
        <v>175.5</v>
      </c>
      <c r="AF350">
        <v>177.1</v>
      </c>
    </row>
    <row r="351" spans="1:32" hidden="1" x14ac:dyDescent="0.3">
      <c r="A351" t="s">
        <v>53</v>
      </c>
      <c r="B351">
        <v>2022</v>
      </c>
      <c r="C351" t="s">
        <v>66</v>
      </c>
      <c r="D351">
        <v>170.2</v>
      </c>
      <c r="E351">
        <v>212.9</v>
      </c>
      <c r="F351">
        <v>191.9</v>
      </c>
      <c r="G351">
        <v>173.9</v>
      </c>
      <c r="H351">
        <v>179.1</v>
      </c>
      <c r="I351">
        <v>159.5</v>
      </c>
      <c r="J351">
        <v>178.7</v>
      </c>
      <c r="K351">
        <v>171.3</v>
      </c>
      <c r="L351">
        <v>123.1</v>
      </c>
      <c r="M351">
        <v>200.5</v>
      </c>
      <c r="N351">
        <v>162.80000000000001</v>
      </c>
      <c r="O351">
        <v>193.3</v>
      </c>
      <c r="P351">
        <v>178.6</v>
      </c>
      <c r="Q351">
        <v>201.1</v>
      </c>
      <c r="R351">
        <v>177.7</v>
      </c>
      <c r="S351">
        <v>164.5</v>
      </c>
      <c r="T351">
        <v>175.7</v>
      </c>
      <c r="U351">
        <v>170.7</v>
      </c>
      <c r="V351">
        <v>180.6</v>
      </c>
      <c r="W351">
        <v>167.3</v>
      </c>
      <c r="X351">
        <v>177.2</v>
      </c>
      <c r="Y351">
        <v>159.4</v>
      </c>
      <c r="Z351">
        <v>167.1</v>
      </c>
      <c r="AA351">
        <v>171.8</v>
      </c>
      <c r="AB351">
        <v>176</v>
      </c>
      <c r="AC351">
        <v>168.2</v>
      </c>
      <c r="AF351">
        <v>174.1</v>
      </c>
    </row>
    <row r="352" spans="1:32" x14ac:dyDescent="0.3">
      <c r="A352" t="s">
        <v>54</v>
      </c>
      <c r="B352">
        <v>2022</v>
      </c>
      <c r="C352" t="s">
        <v>66</v>
      </c>
      <c r="D352">
        <v>169.2</v>
      </c>
      <c r="E352">
        <v>209</v>
      </c>
      <c r="F352">
        <v>190.2</v>
      </c>
      <c r="G352">
        <v>173.6</v>
      </c>
      <c r="H352">
        <v>188.5</v>
      </c>
      <c r="I352">
        <v>158</v>
      </c>
      <c r="J352">
        <v>159.9</v>
      </c>
      <c r="K352">
        <v>170.8</v>
      </c>
      <c r="L352">
        <v>121.8</v>
      </c>
      <c r="M352">
        <v>205.2</v>
      </c>
      <c r="N352">
        <v>171</v>
      </c>
      <c r="O352">
        <v>190.3</v>
      </c>
      <c r="P352">
        <v>175.9</v>
      </c>
      <c r="Q352">
        <v>197.3</v>
      </c>
      <c r="R352">
        <v>184</v>
      </c>
      <c r="S352">
        <v>177</v>
      </c>
      <c r="T352">
        <v>183</v>
      </c>
      <c r="U352">
        <v>170.7</v>
      </c>
      <c r="V352">
        <v>182</v>
      </c>
      <c r="W352">
        <v>172.1</v>
      </c>
      <c r="X352">
        <v>181.1</v>
      </c>
      <c r="Y352">
        <v>163.4</v>
      </c>
      <c r="Z352">
        <v>168.9</v>
      </c>
      <c r="AA352">
        <v>174.1</v>
      </c>
      <c r="AB352">
        <v>175.8</v>
      </c>
      <c r="AC352">
        <v>172</v>
      </c>
      <c r="AD352" t="str">
        <f>C352 &amp; " "  &amp; B352</f>
        <v>December 2022</v>
      </c>
      <c r="AE352" s="3">
        <f>(AF352-AF316)/AF316</f>
        <v>5.7160048134777382E-2</v>
      </c>
      <c r="AF352">
        <v>175.7</v>
      </c>
    </row>
    <row r="353" spans="1:32" hidden="1" x14ac:dyDescent="0.3">
      <c r="A353" t="s">
        <v>50</v>
      </c>
      <c r="B353">
        <v>2023</v>
      </c>
      <c r="C353" t="s">
        <v>51</v>
      </c>
      <c r="D353">
        <v>174</v>
      </c>
      <c r="E353">
        <v>208.3</v>
      </c>
      <c r="F353">
        <v>192.9</v>
      </c>
      <c r="G353">
        <v>174.3</v>
      </c>
      <c r="H353">
        <v>192.6</v>
      </c>
      <c r="I353">
        <v>156.30000000000001</v>
      </c>
      <c r="J353">
        <v>142.9</v>
      </c>
      <c r="K353">
        <v>170.7</v>
      </c>
      <c r="L353">
        <v>120.3</v>
      </c>
      <c r="M353">
        <v>210.5</v>
      </c>
      <c r="N353">
        <v>176.9</v>
      </c>
      <c r="O353">
        <v>188.5</v>
      </c>
      <c r="P353">
        <v>175</v>
      </c>
      <c r="Q353">
        <v>196.9</v>
      </c>
      <c r="R353">
        <v>189</v>
      </c>
      <c r="S353">
        <v>186.3</v>
      </c>
      <c r="T353">
        <v>188.6</v>
      </c>
      <c r="U353">
        <f>AVERAGE(U351:U352)</f>
        <v>170.7</v>
      </c>
      <c r="V353">
        <v>183.2</v>
      </c>
      <c r="W353">
        <v>177.2</v>
      </c>
      <c r="X353">
        <v>184.7</v>
      </c>
      <c r="Y353">
        <v>168.2</v>
      </c>
      <c r="Z353">
        <v>171.8</v>
      </c>
      <c r="AA353">
        <v>177.8</v>
      </c>
      <c r="AB353">
        <v>178.4</v>
      </c>
      <c r="AC353">
        <v>176.5</v>
      </c>
      <c r="AF353">
        <v>177.8</v>
      </c>
    </row>
    <row r="354" spans="1:32" hidden="1" x14ac:dyDescent="0.3">
      <c r="A354" t="s">
        <v>53</v>
      </c>
      <c r="B354">
        <v>2023</v>
      </c>
      <c r="C354" t="s">
        <v>51</v>
      </c>
      <c r="D354">
        <v>173.3</v>
      </c>
      <c r="E354">
        <v>215.2</v>
      </c>
      <c r="F354">
        <v>197</v>
      </c>
      <c r="G354">
        <v>175.2</v>
      </c>
      <c r="H354">
        <v>178</v>
      </c>
      <c r="I354">
        <v>160.5</v>
      </c>
      <c r="J354">
        <v>175.3</v>
      </c>
      <c r="K354">
        <v>171.2</v>
      </c>
      <c r="L354">
        <v>122.7</v>
      </c>
      <c r="M354">
        <v>204.3</v>
      </c>
      <c r="N354">
        <v>163.69999999999999</v>
      </c>
      <c r="O354">
        <v>194.3</v>
      </c>
      <c r="P354">
        <v>179.5</v>
      </c>
      <c r="Q354">
        <v>201.6</v>
      </c>
      <c r="R354">
        <v>178.7</v>
      </c>
      <c r="S354">
        <v>165.3</v>
      </c>
      <c r="T354">
        <v>176.6</v>
      </c>
      <c r="U354">
        <v>172.1</v>
      </c>
      <c r="V354">
        <v>180.1</v>
      </c>
      <c r="W354">
        <v>168</v>
      </c>
      <c r="X354">
        <v>178.5</v>
      </c>
      <c r="Y354">
        <v>159.5</v>
      </c>
      <c r="Z354">
        <v>167.8</v>
      </c>
      <c r="AA354">
        <v>171.8</v>
      </c>
      <c r="AB354">
        <v>178.8</v>
      </c>
      <c r="AC354">
        <v>168.9</v>
      </c>
      <c r="AF354">
        <v>174.9</v>
      </c>
    </row>
    <row r="355" spans="1:32" x14ac:dyDescent="0.3">
      <c r="A355" t="s">
        <v>54</v>
      </c>
      <c r="B355">
        <v>2023</v>
      </c>
      <c r="C355" t="s">
        <v>51</v>
      </c>
      <c r="D355">
        <v>173.8</v>
      </c>
      <c r="E355">
        <v>210.7</v>
      </c>
      <c r="F355">
        <v>194.5</v>
      </c>
      <c r="G355">
        <v>174.6</v>
      </c>
      <c r="H355">
        <v>187.2</v>
      </c>
      <c r="I355">
        <v>158.30000000000001</v>
      </c>
      <c r="J355">
        <v>153.9</v>
      </c>
      <c r="K355">
        <v>170.9</v>
      </c>
      <c r="L355">
        <v>121.1</v>
      </c>
      <c r="M355">
        <v>208.4</v>
      </c>
      <c r="N355">
        <v>171.4</v>
      </c>
      <c r="O355">
        <v>191.2</v>
      </c>
      <c r="P355">
        <v>176.7</v>
      </c>
      <c r="Q355">
        <v>198.2</v>
      </c>
      <c r="R355">
        <v>184.9</v>
      </c>
      <c r="S355">
        <v>177.6</v>
      </c>
      <c r="T355">
        <v>183.8</v>
      </c>
      <c r="U355">
        <v>172.1</v>
      </c>
      <c r="V355">
        <v>182</v>
      </c>
      <c r="W355">
        <v>172.9</v>
      </c>
      <c r="X355">
        <v>182.3</v>
      </c>
      <c r="Y355">
        <v>163.6</v>
      </c>
      <c r="Z355">
        <v>169.5</v>
      </c>
      <c r="AA355">
        <v>174.3</v>
      </c>
      <c r="AB355">
        <v>178.6</v>
      </c>
      <c r="AC355">
        <v>172.8</v>
      </c>
      <c r="AD355" t="str">
        <f>C355 &amp; " "  &amp; B355</f>
        <v>January 2023</v>
      </c>
      <c r="AE355" s="3">
        <f>(AF355-AF319)/AF319</f>
        <v>6.5178032589016374E-2</v>
      </c>
      <c r="AF355">
        <v>176.5</v>
      </c>
    </row>
    <row r="356" spans="1:32" hidden="1" x14ac:dyDescent="0.3">
      <c r="A356" t="s">
        <v>50</v>
      </c>
      <c r="B356">
        <v>2023</v>
      </c>
      <c r="C356" t="s">
        <v>55</v>
      </c>
      <c r="D356">
        <v>174.2</v>
      </c>
      <c r="E356">
        <v>205.2</v>
      </c>
      <c r="F356">
        <v>173.9</v>
      </c>
      <c r="G356">
        <v>177</v>
      </c>
      <c r="H356">
        <v>183.4</v>
      </c>
      <c r="I356">
        <v>167.2</v>
      </c>
      <c r="J356">
        <v>140.9</v>
      </c>
      <c r="K356">
        <v>170.4</v>
      </c>
      <c r="L356">
        <v>119.1</v>
      </c>
      <c r="M356">
        <v>212.1</v>
      </c>
      <c r="N356">
        <v>177.6</v>
      </c>
      <c r="O356">
        <v>189.9</v>
      </c>
      <c r="P356">
        <v>174.8</v>
      </c>
      <c r="Q356">
        <v>198.3</v>
      </c>
      <c r="R356">
        <v>190</v>
      </c>
      <c r="S356">
        <v>187</v>
      </c>
      <c r="T356">
        <v>189.6</v>
      </c>
      <c r="U356">
        <f>AVERAGE(U354:U355)</f>
        <v>172.1</v>
      </c>
      <c r="V356">
        <v>181.6</v>
      </c>
      <c r="W356">
        <v>178.6</v>
      </c>
      <c r="X356">
        <v>186.6</v>
      </c>
      <c r="Y356">
        <v>169</v>
      </c>
      <c r="Z356">
        <v>172.8</v>
      </c>
      <c r="AA356">
        <v>178.5</v>
      </c>
      <c r="AB356">
        <v>180.7</v>
      </c>
      <c r="AC356">
        <v>177.9</v>
      </c>
      <c r="AF356">
        <v>178</v>
      </c>
    </row>
    <row r="357" spans="1:32" hidden="1" x14ac:dyDescent="0.3">
      <c r="A357" t="s">
        <v>53</v>
      </c>
      <c r="B357">
        <v>2023</v>
      </c>
      <c r="C357" t="s">
        <v>55</v>
      </c>
      <c r="D357">
        <v>174.7</v>
      </c>
      <c r="E357">
        <v>212.2</v>
      </c>
      <c r="F357">
        <v>177.2</v>
      </c>
      <c r="G357">
        <v>177.9</v>
      </c>
      <c r="H357">
        <v>172.2</v>
      </c>
      <c r="I357">
        <v>172.1</v>
      </c>
      <c r="J357">
        <v>175.8</v>
      </c>
      <c r="K357">
        <v>172.2</v>
      </c>
      <c r="L357">
        <v>121.9</v>
      </c>
      <c r="M357">
        <v>204.8</v>
      </c>
      <c r="N357">
        <v>164.9</v>
      </c>
      <c r="O357">
        <v>196.6</v>
      </c>
      <c r="P357">
        <v>180.7</v>
      </c>
      <c r="Q357">
        <v>202.7</v>
      </c>
      <c r="R357">
        <v>180.3</v>
      </c>
      <c r="S357">
        <v>167</v>
      </c>
      <c r="T357">
        <v>178.2</v>
      </c>
      <c r="U357">
        <v>173.5</v>
      </c>
      <c r="V357">
        <v>182.8</v>
      </c>
      <c r="W357">
        <v>169.2</v>
      </c>
      <c r="X357">
        <v>180.8</v>
      </c>
      <c r="Y357">
        <v>159.80000000000001</v>
      </c>
      <c r="Z357">
        <v>168.4</v>
      </c>
      <c r="AA357">
        <v>172.5</v>
      </c>
      <c r="AB357">
        <v>181.4</v>
      </c>
      <c r="AC357">
        <v>170</v>
      </c>
      <c r="AF357">
        <v>176.3</v>
      </c>
    </row>
    <row r="358" spans="1:32" x14ac:dyDescent="0.3">
      <c r="A358" t="s">
        <v>54</v>
      </c>
      <c r="B358">
        <v>2023</v>
      </c>
      <c r="C358" t="s">
        <v>55</v>
      </c>
      <c r="D358">
        <v>174.4</v>
      </c>
      <c r="E358">
        <v>207.7</v>
      </c>
      <c r="F358">
        <v>175.2</v>
      </c>
      <c r="G358">
        <v>177.3</v>
      </c>
      <c r="H358">
        <v>179.3</v>
      </c>
      <c r="I358">
        <v>169.5</v>
      </c>
      <c r="J358">
        <v>152.69999999999999</v>
      </c>
      <c r="K358">
        <v>171</v>
      </c>
      <c r="L358">
        <v>120</v>
      </c>
      <c r="M358">
        <v>209.7</v>
      </c>
      <c r="N358">
        <v>172.3</v>
      </c>
      <c r="O358">
        <v>193</v>
      </c>
      <c r="P358">
        <v>177</v>
      </c>
      <c r="Q358">
        <v>199.5</v>
      </c>
      <c r="R358">
        <v>186.2</v>
      </c>
      <c r="S358">
        <v>178.7</v>
      </c>
      <c r="T358">
        <v>185.1</v>
      </c>
      <c r="U358">
        <v>173.5</v>
      </c>
      <c r="V358">
        <v>182.1</v>
      </c>
      <c r="W358">
        <v>174.2</v>
      </c>
      <c r="X358">
        <v>184.4</v>
      </c>
      <c r="Y358">
        <v>164.2</v>
      </c>
      <c r="Z358">
        <v>170.3</v>
      </c>
      <c r="AA358">
        <v>175</v>
      </c>
      <c r="AB358">
        <v>181</v>
      </c>
      <c r="AC358">
        <v>174.1</v>
      </c>
      <c r="AD358" t="str">
        <f>C358 &amp; " "  &amp; B358</f>
        <v>February 2023</v>
      </c>
      <c r="AE358" s="3">
        <f>(AF358-AF322)/AF322</f>
        <v>6.6827212522576729E-2</v>
      </c>
      <c r="AF358">
        <v>177.2</v>
      </c>
    </row>
    <row r="359" spans="1:32" hidden="1" x14ac:dyDescent="0.3">
      <c r="A359" t="s">
        <v>50</v>
      </c>
      <c r="B359">
        <v>2023</v>
      </c>
      <c r="C359" t="s">
        <v>56</v>
      </c>
      <c r="D359">
        <v>174.3</v>
      </c>
      <c r="E359">
        <v>205.2</v>
      </c>
      <c r="F359">
        <v>173.9</v>
      </c>
      <c r="G359">
        <v>177</v>
      </c>
      <c r="H359">
        <v>183.3</v>
      </c>
      <c r="I359">
        <v>167.2</v>
      </c>
      <c r="J359">
        <v>140.9</v>
      </c>
      <c r="K359">
        <v>170.5</v>
      </c>
      <c r="L359">
        <v>119.1</v>
      </c>
      <c r="M359">
        <v>212.1</v>
      </c>
      <c r="N359">
        <v>177.6</v>
      </c>
      <c r="O359">
        <v>189.9</v>
      </c>
      <c r="P359">
        <v>174.8</v>
      </c>
      <c r="Q359">
        <v>198.4</v>
      </c>
      <c r="R359">
        <v>190</v>
      </c>
      <c r="S359">
        <v>187</v>
      </c>
      <c r="T359">
        <v>189.6</v>
      </c>
      <c r="U359">
        <f>AVERAGE(U357:U358)</f>
        <v>173.5</v>
      </c>
      <c r="V359">
        <v>181.4</v>
      </c>
      <c r="W359">
        <v>178.6</v>
      </c>
      <c r="X359">
        <v>186.6</v>
      </c>
      <c r="Y359">
        <v>169</v>
      </c>
      <c r="Z359">
        <v>172.8</v>
      </c>
      <c r="AA359">
        <v>178.5</v>
      </c>
      <c r="AB359">
        <v>180.7</v>
      </c>
      <c r="AC359">
        <v>177.9</v>
      </c>
      <c r="AF359">
        <v>178</v>
      </c>
    </row>
    <row r="360" spans="1:32" hidden="1" x14ac:dyDescent="0.3">
      <c r="A360" t="s">
        <v>53</v>
      </c>
      <c r="B360">
        <v>2023</v>
      </c>
      <c r="C360" t="s">
        <v>56</v>
      </c>
      <c r="D360">
        <v>174.7</v>
      </c>
      <c r="E360">
        <v>212.2</v>
      </c>
      <c r="F360">
        <v>177.2</v>
      </c>
      <c r="G360">
        <v>177.9</v>
      </c>
      <c r="H360">
        <v>172.2</v>
      </c>
      <c r="I360">
        <v>172.1</v>
      </c>
      <c r="J360">
        <v>175.9</v>
      </c>
      <c r="K360">
        <v>172.2</v>
      </c>
      <c r="L360">
        <v>121.9</v>
      </c>
      <c r="M360">
        <v>204.8</v>
      </c>
      <c r="N360">
        <v>164.9</v>
      </c>
      <c r="O360">
        <v>196.6</v>
      </c>
      <c r="P360">
        <v>180.8</v>
      </c>
      <c r="Q360">
        <v>202.7</v>
      </c>
      <c r="R360">
        <v>180.2</v>
      </c>
      <c r="S360">
        <v>167</v>
      </c>
      <c r="T360">
        <v>178.2</v>
      </c>
      <c r="U360">
        <v>173.5</v>
      </c>
      <c r="V360">
        <v>182.6</v>
      </c>
      <c r="W360">
        <v>169.2</v>
      </c>
      <c r="X360">
        <v>180.8</v>
      </c>
      <c r="Y360">
        <v>159.80000000000001</v>
      </c>
      <c r="Z360">
        <v>168.4</v>
      </c>
      <c r="AA360">
        <v>172.5</v>
      </c>
      <c r="AB360">
        <v>181.5</v>
      </c>
      <c r="AC360">
        <v>170</v>
      </c>
      <c r="AF360">
        <v>176.3</v>
      </c>
    </row>
    <row r="361" spans="1:32" x14ac:dyDescent="0.3">
      <c r="A361" t="s">
        <v>54</v>
      </c>
      <c r="B361">
        <v>2023</v>
      </c>
      <c r="C361" t="s">
        <v>56</v>
      </c>
      <c r="D361">
        <v>174.4</v>
      </c>
      <c r="E361">
        <v>207.7</v>
      </c>
      <c r="F361">
        <v>175.2</v>
      </c>
      <c r="G361">
        <v>177.3</v>
      </c>
      <c r="H361">
        <v>179.2</v>
      </c>
      <c r="I361">
        <v>169.5</v>
      </c>
      <c r="J361">
        <v>152.80000000000001</v>
      </c>
      <c r="K361">
        <v>171.1</v>
      </c>
      <c r="L361">
        <v>120</v>
      </c>
      <c r="M361">
        <v>209.7</v>
      </c>
      <c r="N361">
        <v>172.3</v>
      </c>
      <c r="O361">
        <v>193</v>
      </c>
      <c r="P361">
        <v>177</v>
      </c>
      <c r="Q361">
        <v>199.5</v>
      </c>
      <c r="R361">
        <v>186.1</v>
      </c>
      <c r="S361">
        <v>178.7</v>
      </c>
      <c r="T361">
        <v>185.1</v>
      </c>
      <c r="U361">
        <v>173.5</v>
      </c>
      <c r="V361">
        <v>181.9</v>
      </c>
      <c r="W361">
        <v>174.2</v>
      </c>
      <c r="X361">
        <v>184.4</v>
      </c>
      <c r="Y361">
        <v>164.2</v>
      </c>
      <c r="Z361">
        <v>170.3</v>
      </c>
      <c r="AA361">
        <v>175</v>
      </c>
      <c r="AB361">
        <v>181</v>
      </c>
      <c r="AC361">
        <v>174.1</v>
      </c>
      <c r="AD361" t="str">
        <f>C361 &amp; " "  &amp; B361</f>
        <v>March 2023</v>
      </c>
      <c r="AE361" s="3">
        <f>(AF361-AF325)/AF325</f>
        <v>5.6648777579010143E-2</v>
      </c>
      <c r="AF361">
        <v>177.2</v>
      </c>
    </row>
    <row r="362" spans="1:32" hidden="1" x14ac:dyDescent="0.3">
      <c r="A362" t="s">
        <v>50</v>
      </c>
      <c r="B362">
        <v>2023</v>
      </c>
      <c r="C362" t="s">
        <v>57</v>
      </c>
      <c r="D362">
        <v>173.3</v>
      </c>
      <c r="E362">
        <v>206.9</v>
      </c>
      <c r="F362">
        <v>167.9</v>
      </c>
      <c r="G362">
        <v>178.2</v>
      </c>
      <c r="H362">
        <v>178.5</v>
      </c>
      <c r="I362">
        <v>173.7</v>
      </c>
      <c r="J362">
        <v>142.80000000000001</v>
      </c>
      <c r="K362">
        <v>172.8</v>
      </c>
      <c r="L362">
        <v>120.4</v>
      </c>
      <c r="M362">
        <v>215.5</v>
      </c>
      <c r="N362">
        <v>178.2</v>
      </c>
      <c r="O362">
        <v>190.5</v>
      </c>
      <c r="P362">
        <v>175.5</v>
      </c>
      <c r="Q362">
        <v>199.5</v>
      </c>
      <c r="R362">
        <v>190.7</v>
      </c>
      <c r="S362">
        <v>187.3</v>
      </c>
      <c r="T362">
        <v>190.2</v>
      </c>
      <c r="U362">
        <f>AVERAGE(U360:U361)</f>
        <v>173.5</v>
      </c>
      <c r="V362">
        <v>181.5</v>
      </c>
      <c r="W362">
        <v>179.1</v>
      </c>
      <c r="X362">
        <v>187.2</v>
      </c>
      <c r="Y362">
        <v>169.4</v>
      </c>
      <c r="Z362">
        <v>173.2</v>
      </c>
      <c r="AA362">
        <v>179.4</v>
      </c>
      <c r="AB362">
        <v>183.8</v>
      </c>
      <c r="AC362">
        <v>178.9</v>
      </c>
      <c r="AF362">
        <v>178.8</v>
      </c>
    </row>
    <row r="363" spans="1:32" hidden="1" x14ac:dyDescent="0.3">
      <c r="A363" t="s">
        <v>53</v>
      </c>
      <c r="B363">
        <v>2023</v>
      </c>
      <c r="C363" t="s">
        <v>57</v>
      </c>
      <c r="D363">
        <v>174.8</v>
      </c>
      <c r="E363">
        <v>213.7</v>
      </c>
      <c r="F363">
        <v>172.4</v>
      </c>
      <c r="G363">
        <v>178.8</v>
      </c>
      <c r="H363">
        <v>168.7</v>
      </c>
      <c r="I363">
        <v>179.2</v>
      </c>
      <c r="J363">
        <v>179.9</v>
      </c>
      <c r="K363">
        <v>174.7</v>
      </c>
      <c r="L363">
        <v>123.1</v>
      </c>
      <c r="M363">
        <v>207.8</v>
      </c>
      <c r="N363">
        <v>165.5</v>
      </c>
      <c r="O363">
        <v>197</v>
      </c>
      <c r="P363">
        <v>182.1</v>
      </c>
      <c r="Q363">
        <v>203.5</v>
      </c>
      <c r="R363">
        <v>181</v>
      </c>
      <c r="S363">
        <v>167.7</v>
      </c>
      <c r="T363">
        <v>178.9</v>
      </c>
      <c r="U363">
        <v>175.2</v>
      </c>
      <c r="V363">
        <v>182.1</v>
      </c>
      <c r="W363">
        <v>169.6</v>
      </c>
      <c r="X363">
        <v>181.5</v>
      </c>
      <c r="Y363">
        <v>160.1</v>
      </c>
      <c r="Z363">
        <v>168.8</v>
      </c>
      <c r="AA363">
        <v>174.2</v>
      </c>
      <c r="AB363">
        <v>184.4</v>
      </c>
      <c r="AC363">
        <v>170.9</v>
      </c>
      <c r="AF363">
        <v>177.4</v>
      </c>
    </row>
    <row r="364" spans="1:32" x14ac:dyDescent="0.3">
      <c r="A364" t="s">
        <v>54</v>
      </c>
      <c r="B364">
        <v>2023</v>
      </c>
      <c r="C364" t="s">
        <v>57</v>
      </c>
      <c r="D364">
        <v>173.8</v>
      </c>
      <c r="E364">
        <v>209.3</v>
      </c>
      <c r="F364">
        <v>169.6</v>
      </c>
      <c r="G364">
        <v>178.4</v>
      </c>
      <c r="H364">
        <v>174.9</v>
      </c>
      <c r="I364">
        <v>176.3</v>
      </c>
      <c r="J364">
        <v>155.4</v>
      </c>
      <c r="K364">
        <v>173.4</v>
      </c>
      <c r="L364">
        <v>121.3</v>
      </c>
      <c r="M364">
        <v>212.9</v>
      </c>
      <c r="N364">
        <v>172.9</v>
      </c>
      <c r="O364">
        <v>193.5</v>
      </c>
      <c r="P364">
        <v>177.9</v>
      </c>
      <c r="Q364">
        <v>200.6</v>
      </c>
      <c r="R364">
        <v>186.9</v>
      </c>
      <c r="S364">
        <v>179.2</v>
      </c>
      <c r="T364">
        <v>185.7</v>
      </c>
      <c r="U364">
        <v>175.2</v>
      </c>
      <c r="V364">
        <v>181.7</v>
      </c>
      <c r="W364">
        <v>174.6</v>
      </c>
      <c r="X364">
        <v>185</v>
      </c>
      <c r="Y364">
        <v>164.5</v>
      </c>
      <c r="Z364">
        <v>170.7</v>
      </c>
      <c r="AA364">
        <v>176.4</v>
      </c>
      <c r="AB364">
        <v>184</v>
      </c>
      <c r="AC364">
        <v>175</v>
      </c>
      <c r="AD364" t="str">
        <f>C364 &amp; " "  &amp; B364</f>
        <v>April 2023</v>
      </c>
      <c r="AE364" s="3">
        <f>(AF364-AF328)/AF328</f>
        <v>4.7031158142269255E-2</v>
      </c>
      <c r="AF364">
        <v>178.1</v>
      </c>
    </row>
    <row r="365" spans="1:32" hidden="1" x14ac:dyDescent="0.3">
      <c r="A365" t="s">
        <v>50</v>
      </c>
      <c r="B365">
        <v>2023</v>
      </c>
      <c r="C365" t="s">
        <v>58</v>
      </c>
      <c r="D365">
        <v>173.2</v>
      </c>
      <c r="E365">
        <v>211.5</v>
      </c>
      <c r="F365">
        <v>171</v>
      </c>
      <c r="G365">
        <v>179.6</v>
      </c>
      <c r="H365">
        <v>173.3</v>
      </c>
      <c r="I365">
        <v>169</v>
      </c>
      <c r="J365">
        <v>148.69999999999999</v>
      </c>
      <c r="K365">
        <v>174.9</v>
      </c>
      <c r="L365">
        <v>121.9</v>
      </c>
      <c r="M365">
        <v>221</v>
      </c>
      <c r="N365">
        <v>178.7</v>
      </c>
      <c r="O365">
        <v>191.1</v>
      </c>
      <c r="P365">
        <v>176.8</v>
      </c>
      <c r="Q365">
        <v>199.9</v>
      </c>
      <c r="R365">
        <v>191.2</v>
      </c>
      <c r="S365">
        <v>187.9</v>
      </c>
      <c r="T365">
        <v>190.8</v>
      </c>
      <c r="U365">
        <f>AVERAGE(U363:U364)</f>
        <v>175.2</v>
      </c>
      <c r="V365">
        <v>182.5</v>
      </c>
      <c r="W365">
        <v>179.8</v>
      </c>
      <c r="X365">
        <v>187.8</v>
      </c>
      <c r="Y365">
        <v>169.7</v>
      </c>
      <c r="Z365">
        <v>173.8</v>
      </c>
      <c r="AA365">
        <v>180.3</v>
      </c>
      <c r="AB365">
        <v>184.9</v>
      </c>
      <c r="AC365">
        <v>179.5</v>
      </c>
      <c r="AF365">
        <v>179.8</v>
      </c>
    </row>
    <row r="366" spans="1:32" hidden="1" x14ac:dyDescent="0.3">
      <c r="A366" t="s">
        <v>53</v>
      </c>
      <c r="B366">
        <v>2023</v>
      </c>
      <c r="C366" t="s">
        <v>58</v>
      </c>
      <c r="D366">
        <v>174.7</v>
      </c>
      <c r="E366">
        <v>219.4</v>
      </c>
      <c r="F366">
        <v>176.7</v>
      </c>
      <c r="G366">
        <v>179.4</v>
      </c>
      <c r="H366">
        <v>164.4</v>
      </c>
      <c r="I366">
        <v>175.8</v>
      </c>
      <c r="J366">
        <v>185</v>
      </c>
      <c r="K366">
        <v>176.9</v>
      </c>
      <c r="L366">
        <v>124.2</v>
      </c>
      <c r="M366">
        <v>211.9</v>
      </c>
      <c r="N366">
        <v>165.9</v>
      </c>
      <c r="O366">
        <v>197.7</v>
      </c>
      <c r="P366">
        <v>183.1</v>
      </c>
      <c r="Q366">
        <v>204.2</v>
      </c>
      <c r="R366">
        <v>181.3</v>
      </c>
      <c r="S366">
        <v>168.1</v>
      </c>
      <c r="T366">
        <v>179.3</v>
      </c>
      <c r="U366">
        <v>175.6</v>
      </c>
      <c r="V366">
        <v>183.4</v>
      </c>
      <c r="W366">
        <v>170.1</v>
      </c>
      <c r="X366">
        <v>182.2</v>
      </c>
      <c r="Y366">
        <v>160.4</v>
      </c>
      <c r="Z366">
        <v>169.2</v>
      </c>
      <c r="AA366">
        <v>174.8</v>
      </c>
      <c r="AB366">
        <v>185.6</v>
      </c>
      <c r="AC366">
        <v>171.6</v>
      </c>
      <c r="AF366">
        <v>178.2</v>
      </c>
    </row>
    <row r="367" spans="1:32" x14ac:dyDescent="0.3">
      <c r="A367" t="s">
        <v>54</v>
      </c>
      <c r="B367">
        <v>2023</v>
      </c>
      <c r="C367" t="s">
        <v>58</v>
      </c>
      <c r="D367">
        <v>173.7</v>
      </c>
      <c r="E367">
        <v>214.3</v>
      </c>
      <c r="F367">
        <v>173.2</v>
      </c>
      <c r="G367">
        <v>179.5</v>
      </c>
      <c r="H367">
        <v>170</v>
      </c>
      <c r="I367">
        <v>172.2</v>
      </c>
      <c r="J367">
        <v>161</v>
      </c>
      <c r="K367">
        <v>175.6</v>
      </c>
      <c r="L367">
        <v>122.7</v>
      </c>
      <c r="M367">
        <v>218</v>
      </c>
      <c r="N367">
        <v>173.4</v>
      </c>
      <c r="O367">
        <v>194.2</v>
      </c>
      <c r="P367">
        <v>179.1</v>
      </c>
      <c r="Q367">
        <v>201</v>
      </c>
      <c r="R367">
        <v>187.3</v>
      </c>
      <c r="S367">
        <v>179.7</v>
      </c>
      <c r="T367">
        <v>186.2</v>
      </c>
      <c r="U367">
        <v>175.6</v>
      </c>
      <c r="V367">
        <v>182.8</v>
      </c>
      <c r="W367">
        <v>175.2</v>
      </c>
      <c r="X367">
        <v>185.7</v>
      </c>
      <c r="Y367">
        <v>164.8</v>
      </c>
      <c r="Z367">
        <v>171.2</v>
      </c>
      <c r="AA367">
        <v>177.1</v>
      </c>
      <c r="AB367">
        <v>185.2</v>
      </c>
      <c r="AC367">
        <v>175.7</v>
      </c>
      <c r="AD367" t="str">
        <f>C367 &amp; " "  &amp; B367</f>
        <v>May 2023</v>
      </c>
      <c r="AE367" s="3">
        <f>(AF367-AF331)/AF331</f>
        <v>4.3098427489807842E-2</v>
      </c>
      <c r="AF367">
        <v>179.1</v>
      </c>
    </row>
  </sheetData>
  <autoFilter ref="A1:AF367" xr:uid="{3E4FAC9D-DA35-426F-A715-3FEF6D7E1846}">
    <filterColumn colId="0">
      <filters>
        <filter val="Rural+Urban"/>
      </filters>
    </filterColumn>
    <filterColumn colId="1">
      <filters>
        <filter val="2017"/>
        <filter val="2018"/>
        <filter val="2019"/>
        <filter val="2020"/>
        <filter val="2021"/>
        <filter val="2022"/>
        <filter val="2023"/>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8055-CC98-460D-8608-21D9621528D1}">
  <dimension ref="A1:F75"/>
  <sheetViews>
    <sheetView workbookViewId="0">
      <selection activeCell="M23" sqref="M23"/>
    </sheetView>
  </sheetViews>
  <sheetFormatPr defaultRowHeight="14.4" x14ac:dyDescent="0.3"/>
  <cols>
    <col min="4" max="4" width="8.88671875" style="4"/>
  </cols>
  <sheetData>
    <row r="1" spans="1:6" x14ac:dyDescent="0.3">
      <c r="A1" t="s">
        <v>20</v>
      </c>
      <c r="B1" t="s">
        <v>21</v>
      </c>
      <c r="C1" t="s">
        <v>22</v>
      </c>
      <c r="D1" s="4" t="s">
        <v>72</v>
      </c>
      <c r="E1" t="s">
        <v>73</v>
      </c>
      <c r="F1" t="s">
        <v>49</v>
      </c>
    </row>
    <row r="2" spans="1:6" x14ac:dyDescent="0.3">
      <c r="A2" t="s">
        <v>54</v>
      </c>
      <c r="B2">
        <v>2017</v>
      </c>
      <c r="C2" t="s">
        <v>51</v>
      </c>
      <c r="D2" s="4" t="s">
        <v>74</v>
      </c>
      <c r="E2" s="3">
        <v>3.1670625494853638E-2</v>
      </c>
      <c r="F2">
        <v>130.30000000000001</v>
      </c>
    </row>
    <row r="3" spans="1:6" x14ac:dyDescent="0.3">
      <c r="A3" t="s">
        <v>54</v>
      </c>
      <c r="B3">
        <v>2017</v>
      </c>
      <c r="C3" t="s">
        <v>55</v>
      </c>
      <c r="D3" s="4" t="s">
        <v>75</v>
      </c>
      <c r="E3" s="3">
        <v>3.6507936507936462E-2</v>
      </c>
      <c r="F3">
        <v>130.6</v>
      </c>
    </row>
    <row r="4" spans="1:6" x14ac:dyDescent="0.3">
      <c r="A4" t="s">
        <v>54</v>
      </c>
      <c r="B4">
        <v>2017</v>
      </c>
      <c r="C4" t="s">
        <v>56</v>
      </c>
      <c r="D4" s="4" t="s">
        <v>76</v>
      </c>
      <c r="E4" s="3">
        <v>3.8888888888888931E-2</v>
      </c>
      <c r="F4">
        <v>130.9</v>
      </c>
    </row>
    <row r="5" spans="1:6" x14ac:dyDescent="0.3">
      <c r="A5" t="s">
        <v>54</v>
      </c>
      <c r="B5">
        <v>2017</v>
      </c>
      <c r="C5" t="s">
        <v>57</v>
      </c>
      <c r="D5" s="4" t="s">
        <v>77</v>
      </c>
      <c r="E5" s="3">
        <v>2.9850746268656695E-2</v>
      </c>
      <c r="F5">
        <v>131.1</v>
      </c>
    </row>
    <row r="6" spans="1:6" x14ac:dyDescent="0.3">
      <c r="A6" t="s">
        <v>54</v>
      </c>
      <c r="B6">
        <v>2017</v>
      </c>
      <c r="C6" t="s">
        <v>58</v>
      </c>
      <c r="D6" s="4" t="s">
        <v>78</v>
      </c>
      <c r="E6" s="3">
        <v>2.1772939346811911E-2</v>
      </c>
      <c r="F6">
        <v>131.4</v>
      </c>
    </row>
    <row r="7" spans="1:6" x14ac:dyDescent="0.3">
      <c r="A7" t="s">
        <v>54</v>
      </c>
      <c r="B7">
        <v>2017</v>
      </c>
      <c r="C7" t="s">
        <v>59</v>
      </c>
      <c r="D7" s="4" t="s">
        <v>79</v>
      </c>
      <c r="E7" s="3">
        <v>1.4604150653343625E-2</v>
      </c>
      <c r="F7">
        <v>132</v>
      </c>
    </row>
    <row r="8" spans="1:6" x14ac:dyDescent="0.3">
      <c r="A8" t="s">
        <v>54</v>
      </c>
      <c r="B8">
        <v>2017</v>
      </c>
      <c r="C8" t="s">
        <v>60</v>
      </c>
      <c r="D8" s="4" t="s">
        <v>80</v>
      </c>
      <c r="E8" s="3">
        <v>2.3646071700991568E-2</v>
      </c>
      <c r="F8">
        <v>134.19999999999999</v>
      </c>
    </row>
    <row r="9" spans="1:6" x14ac:dyDescent="0.3">
      <c r="A9" t="s">
        <v>54</v>
      </c>
      <c r="B9">
        <v>2017</v>
      </c>
      <c r="C9" t="s">
        <v>61</v>
      </c>
      <c r="D9" s="4" t="s">
        <v>81</v>
      </c>
      <c r="E9" s="3">
        <v>3.2799389778794902E-2</v>
      </c>
      <c r="F9">
        <v>135.4</v>
      </c>
    </row>
    <row r="10" spans="1:6" x14ac:dyDescent="0.3">
      <c r="A10" t="s">
        <v>54</v>
      </c>
      <c r="B10">
        <v>2017</v>
      </c>
      <c r="C10" t="s">
        <v>62</v>
      </c>
      <c r="D10" s="4" t="s">
        <v>82</v>
      </c>
      <c r="E10" s="3">
        <v>3.2849503437738597E-2</v>
      </c>
      <c r="F10">
        <v>135.19999999999999</v>
      </c>
    </row>
    <row r="11" spans="1:6" x14ac:dyDescent="0.3">
      <c r="A11" t="s">
        <v>54</v>
      </c>
      <c r="B11">
        <v>2017</v>
      </c>
      <c r="C11" t="s">
        <v>63</v>
      </c>
      <c r="D11" s="4" t="s">
        <v>83</v>
      </c>
      <c r="E11" s="3">
        <v>3.5768645357686368E-2</v>
      </c>
      <c r="F11">
        <v>136.1</v>
      </c>
    </row>
    <row r="12" spans="1:6" x14ac:dyDescent="0.3">
      <c r="A12" t="s">
        <v>54</v>
      </c>
      <c r="B12">
        <v>2017</v>
      </c>
      <c r="C12" t="s">
        <v>65</v>
      </c>
      <c r="D12" s="4" t="s">
        <v>84</v>
      </c>
      <c r="E12" s="3">
        <v>4.8780487804878099E-2</v>
      </c>
      <c r="F12">
        <v>137.6</v>
      </c>
    </row>
    <row r="13" spans="1:6" x14ac:dyDescent="0.3">
      <c r="A13" t="s">
        <v>54</v>
      </c>
      <c r="B13">
        <v>2017</v>
      </c>
      <c r="C13" t="s">
        <v>66</v>
      </c>
      <c r="D13" s="4" t="s">
        <v>85</v>
      </c>
      <c r="E13" s="3">
        <v>5.2147239263803546E-2</v>
      </c>
      <c r="F13">
        <v>137.19999999999999</v>
      </c>
    </row>
    <row r="14" spans="1:6" x14ac:dyDescent="0.3">
      <c r="A14" t="s">
        <v>54</v>
      </c>
      <c r="B14">
        <v>2018</v>
      </c>
      <c r="C14" t="s">
        <v>51</v>
      </c>
      <c r="D14" s="4" t="s">
        <v>86</v>
      </c>
      <c r="E14" s="3">
        <v>5.0652340752110468E-2</v>
      </c>
      <c r="F14">
        <v>136.9</v>
      </c>
    </row>
    <row r="15" spans="1:6" x14ac:dyDescent="0.3">
      <c r="A15" t="s">
        <v>54</v>
      </c>
      <c r="B15">
        <v>2018</v>
      </c>
      <c r="C15" t="s">
        <v>55</v>
      </c>
      <c r="D15" s="4" t="s">
        <v>87</v>
      </c>
      <c r="E15" s="3">
        <v>4.441041347626349E-2</v>
      </c>
      <c r="F15">
        <v>136.4</v>
      </c>
    </row>
    <row r="16" spans="1:6" x14ac:dyDescent="0.3">
      <c r="A16" t="s">
        <v>54</v>
      </c>
      <c r="B16">
        <v>2018</v>
      </c>
      <c r="C16" t="s">
        <v>56</v>
      </c>
      <c r="D16" s="4" t="s">
        <v>88</v>
      </c>
      <c r="E16" s="3">
        <v>4.278074866310156E-2</v>
      </c>
      <c r="F16">
        <v>136.5</v>
      </c>
    </row>
    <row r="17" spans="1:6" x14ac:dyDescent="0.3">
      <c r="A17" t="s">
        <v>54</v>
      </c>
      <c r="B17">
        <v>2018</v>
      </c>
      <c r="C17" t="s">
        <v>57</v>
      </c>
      <c r="D17" s="4" t="s">
        <v>89</v>
      </c>
      <c r="E17" s="3">
        <v>4.5766590389016024E-2</v>
      </c>
      <c r="F17">
        <v>137.1</v>
      </c>
    </row>
    <row r="18" spans="1:6" x14ac:dyDescent="0.3">
      <c r="A18" t="s">
        <v>54</v>
      </c>
      <c r="B18">
        <v>2018</v>
      </c>
      <c r="C18" t="s">
        <v>58</v>
      </c>
      <c r="D18" s="4" t="s">
        <v>90</v>
      </c>
      <c r="E18" s="3">
        <v>4.8706240487062444E-2</v>
      </c>
      <c r="F18">
        <v>137.80000000000001</v>
      </c>
    </row>
    <row r="19" spans="1:6" x14ac:dyDescent="0.3">
      <c r="A19" t="s">
        <v>54</v>
      </c>
      <c r="B19">
        <v>2018</v>
      </c>
      <c r="C19" t="s">
        <v>59</v>
      </c>
      <c r="D19" s="4" t="s">
        <v>91</v>
      </c>
      <c r="E19" s="3">
        <v>4.924242424242424E-2</v>
      </c>
      <c r="F19">
        <v>138.5</v>
      </c>
    </row>
    <row r="20" spans="1:6" x14ac:dyDescent="0.3">
      <c r="A20" t="s">
        <v>54</v>
      </c>
      <c r="B20">
        <v>2018</v>
      </c>
      <c r="C20" t="s">
        <v>60</v>
      </c>
      <c r="D20" s="4" t="s">
        <v>92</v>
      </c>
      <c r="E20" s="3">
        <v>4.172876304023862E-2</v>
      </c>
      <c r="F20">
        <v>139.80000000000001</v>
      </c>
    </row>
    <row r="21" spans="1:6" x14ac:dyDescent="0.3">
      <c r="A21" t="s">
        <v>54</v>
      </c>
      <c r="B21">
        <v>2018</v>
      </c>
      <c r="C21" t="s">
        <v>61</v>
      </c>
      <c r="D21" s="4" t="s">
        <v>93</v>
      </c>
      <c r="E21" s="3">
        <v>3.6927621861152143E-2</v>
      </c>
      <c r="F21">
        <v>140.4</v>
      </c>
    </row>
    <row r="22" spans="1:6" x14ac:dyDescent="0.3">
      <c r="A22" t="s">
        <v>54</v>
      </c>
      <c r="B22">
        <v>2018</v>
      </c>
      <c r="C22" t="s">
        <v>62</v>
      </c>
      <c r="D22" s="4" t="s">
        <v>94</v>
      </c>
      <c r="E22" s="3">
        <v>3.6982248520710061E-2</v>
      </c>
      <c r="F22">
        <v>140.19999999999999</v>
      </c>
    </row>
    <row r="23" spans="1:6" x14ac:dyDescent="0.3">
      <c r="A23" t="s">
        <v>54</v>
      </c>
      <c r="B23">
        <v>2018</v>
      </c>
      <c r="C23" t="s">
        <v>63</v>
      </c>
      <c r="D23" s="4" t="s">
        <v>95</v>
      </c>
      <c r="E23" s="3">
        <v>3.4533431300514457E-2</v>
      </c>
      <c r="F23">
        <v>140.80000000000001</v>
      </c>
    </row>
    <row r="24" spans="1:6" x14ac:dyDescent="0.3">
      <c r="A24" t="s">
        <v>54</v>
      </c>
      <c r="B24">
        <v>2018</v>
      </c>
      <c r="C24" t="s">
        <v>65</v>
      </c>
      <c r="D24" s="4" t="s">
        <v>96</v>
      </c>
      <c r="E24" s="3">
        <v>2.3255813953488497E-2</v>
      </c>
      <c r="F24">
        <v>140.80000000000001</v>
      </c>
    </row>
    <row r="25" spans="1:6" x14ac:dyDescent="0.3">
      <c r="A25" t="s">
        <v>54</v>
      </c>
      <c r="B25">
        <v>2018</v>
      </c>
      <c r="C25" t="s">
        <v>66</v>
      </c>
      <c r="D25" s="4" t="s">
        <v>97</v>
      </c>
      <c r="E25" s="3">
        <v>2.1137026239067099E-2</v>
      </c>
      <c r="F25">
        <v>140.1</v>
      </c>
    </row>
    <row r="26" spans="1:6" x14ac:dyDescent="0.3">
      <c r="A26" t="s">
        <v>54</v>
      </c>
      <c r="B26">
        <v>2019</v>
      </c>
      <c r="C26" t="s">
        <v>51</v>
      </c>
      <c r="D26" s="4" t="s">
        <v>98</v>
      </c>
      <c r="E26" s="3">
        <v>1.9722425127830449E-2</v>
      </c>
      <c r="F26">
        <v>139.6</v>
      </c>
    </row>
    <row r="27" spans="1:6" x14ac:dyDescent="0.3">
      <c r="A27" t="s">
        <v>54</v>
      </c>
      <c r="B27">
        <v>2019</v>
      </c>
      <c r="C27" t="s">
        <v>55</v>
      </c>
      <c r="D27" s="4" t="s">
        <v>99</v>
      </c>
      <c r="E27" s="3">
        <v>2.5659824046920819E-2</v>
      </c>
      <c r="F27">
        <v>139.9</v>
      </c>
    </row>
    <row r="28" spans="1:6" x14ac:dyDescent="0.3">
      <c r="A28" t="s">
        <v>54</v>
      </c>
      <c r="B28">
        <v>2019</v>
      </c>
      <c r="C28" t="s">
        <v>56</v>
      </c>
      <c r="D28" s="4" t="s">
        <v>100</v>
      </c>
      <c r="E28" s="3">
        <v>2.8571428571428612E-2</v>
      </c>
      <c r="F28">
        <v>140.4</v>
      </c>
    </row>
    <row r="29" spans="1:6" x14ac:dyDescent="0.3">
      <c r="A29" t="s">
        <v>54</v>
      </c>
      <c r="B29">
        <v>2019</v>
      </c>
      <c r="C29" t="s">
        <v>58</v>
      </c>
      <c r="D29" s="4" t="s">
        <v>101</v>
      </c>
      <c r="E29" s="3">
        <v>3.5740335521517182E-2</v>
      </c>
      <c r="F29">
        <v>142</v>
      </c>
    </row>
    <row r="30" spans="1:6" x14ac:dyDescent="0.3">
      <c r="A30" t="s">
        <v>54</v>
      </c>
      <c r="B30">
        <v>2019</v>
      </c>
      <c r="C30" t="s">
        <v>59</v>
      </c>
      <c r="D30" s="4" t="s">
        <v>102</v>
      </c>
      <c r="E30" s="3">
        <v>3.7010159651669039E-2</v>
      </c>
      <c r="F30">
        <v>142.9</v>
      </c>
    </row>
    <row r="31" spans="1:6" x14ac:dyDescent="0.3">
      <c r="A31" t="s">
        <v>54</v>
      </c>
      <c r="B31">
        <v>2019</v>
      </c>
      <c r="C31" t="s">
        <v>60</v>
      </c>
      <c r="D31" s="4" t="s">
        <v>103</v>
      </c>
      <c r="E31" s="3">
        <v>4.115523465703963E-2</v>
      </c>
      <c r="F31">
        <v>144.19999999999999</v>
      </c>
    </row>
    <row r="32" spans="1:6" x14ac:dyDescent="0.3">
      <c r="A32" t="s">
        <v>54</v>
      </c>
      <c r="B32">
        <v>2019</v>
      </c>
      <c r="C32" t="s">
        <v>61</v>
      </c>
      <c r="D32" s="4" t="s">
        <v>104</v>
      </c>
      <c r="E32" s="3">
        <v>3.7195994277539259E-2</v>
      </c>
      <c r="F32">
        <v>145</v>
      </c>
    </row>
    <row r="33" spans="1:6" x14ac:dyDescent="0.3">
      <c r="A33" t="s">
        <v>54</v>
      </c>
      <c r="B33">
        <v>2019</v>
      </c>
      <c r="C33" t="s">
        <v>62</v>
      </c>
      <c r="D33" s="4" t="s">
        <v>105</v>
      </c>
      <c r="E33" s="3">
        <v>3.8461538461538498E-2</v>
      </c>
      <c r="F33">
        <v>145.80000000000001</v>
      </c>
    </row>
    <row r="34" spans="1:6" x14ac:dyDescent="0.3">
      <c r="A34" t="s">
        <v>54</v>
      </c>
      <c r="B34">
        <v>2019</v>
      </c>
      <c r="C34" t="s">
        <v>63</v>
      </c>
      <c r="D34" s="4" t="s">
        <v>106</v>
      </c>
      <c r="E34" s="3">
        <v>4.9928673323823114E-2</v>
      </c>
      <c r="F34">
        <v>147.19999999999999</v>
      </c>
    </row>
    <row r="35" spans="1:6" x14ac:dyDescent="0.3">
      <c r="A35" t="s">
        <v>54</v>
      </c>
      <c r="B35">
        <v>2019</v>
      </c>
      <c r="C35" t="s">
        <v>65</v>
      </c>
      <c r="D35" s="4" t="s">
        <v>107</v>
      </c>
      <c r="E35" s="3">
        <v>5.5397727272727147E-2</v>
      </c>
      <c r="F35">
        <v>148.6</v>
      </c>
    </row>
    <row r="36" spans="1:6" x14ac:dyDescent="0.3">
      <c r="A36" t="s">
        <v>54</v>
      </c>
      <c r="B36">
        <v>2019</v>
      </c>
      <c r="C36" t="s">
        <v>66</v>
      </c>
      <c r="D36" s="4" t="s">
        <v>108</v>
      </c>
      <c r="E36" s="3">
        <v>6.8181818181818135E-2</v>
      </c>
      <c r="F36">
        <v>150.4</v>
      </c>
    </row>
    <row r="37" spans="1:6" x14ac:dyDescent="0.3">
      <c r="A37" t="s">
        <v>54</v>
      </c>
      <c r="B37">
        <v>2020</v>
      </c>
      <c r="C37" t="s">
        <v>51</v>
      </c>
      <c r="D37" s="4" t="s">
        <v>109</v>
      </c>
      <c r="E37" s="3">
        <v>7.2091363311920023E-2</v>
      </c>
      <c r="F37">
        <v>150.19999999999999</v>
      </c>
    </row>
    <row r="38" spans="1:6" x14ac:dyDescent="0.3">
      <c r="A38" t="s">
        <v>54</v>
      </c>
      <c r="B38">
        <v>2020</v>
      </c>
      <c r="C38" t="s">
        <v>55</v>
      </c>
      <c r="D38" s="4" t="s">
        <v>110</v>
      </c>
      <c r="E38" s="3">
        <v>6.8051575931232094E-2</v>
      </c>
      <c r="F38">
        <v>149.1</v>
      </c>
    </row>
    <row r="39" spans="1:6" x14ac:dyDescent="0.3">
      <c r="A39" t="s">
        <v>54</v>
      </c>
      <c r="B39">
        <v>2020</v>
      </c>
      <c r="C39" t="s">
        <v>56</v>
      </c>
      <c r="D39" s="4" t="s">
        <v>111</v>
      </c>
      <c r="E39" s="3">
        <v>6.2187276626161463E-2</v>
      </c>
      <c r="F39">
        <v>148.6</v>
      </c>
    </row>
    <row r="40" spans="1:6" x14ac:dyDescent="0.3">
      <c r="A40" t="s">
        <v>54</v>
      </c>
      <c r="B40">
        <v>2020</v>
      </c>
      <c r="C40" t="s">
        <v>59</v>
      </c>
      <c r="D40" s="4" t="s">
        <v>112</v>
      </c>
      <c r="E40" s="3">
        <v>8.1196581196581227E-2</v>
      </c>
      <c r="F40">
        <v>151.80000000000001</v>
      </c>
    </row>
    <row r="41" spans="1:6" x14ac:dyDescent="0.3">
      <c r="A41" t="s">
        <v>54</v>
      </c>
      <c r="B41">
        <v>2020</v>
      </c>
      <c r="C41" t="s">
        <v>60</v>
      </c>
      <c r="D41" s="4" t="s">
        <v>113</v>
      </c>
      <c r="E41" s="3">
        <v>6.9014084507042328E-2</v>
      </c>
      <c r="F41">
        <v>151.80000000000001</v>
      </c>
    </row>
    <row r="42" spans="1:6" x14ac:dyDescent="0.3">
      <c r="A42" t="s">
        <v>54</v>
      </c>
      <c r="B42">
        <v>2020</v>
      </c>
      <c r="C42" t="s">
        <v>61</v>
      </c>
      <c r="D42" s="4" t="s">
        <v>114</v>
      </c>
      <c r="E42" s="3">
        <v>7.6976906927921626E-2</v>
      </c>
      <c r="F42">
        <v>153.9</v>
      </c>
    </row>
    <row r="43" spans="1:6" x14ac:dyDescent="0.3">
      <c r="A43" t="s">
        <v>54</v>
      </c>
      <c r="B43">
        <v>2020</v>
      </c>
      <c r="C43" t="s">
        <v>62</v>
      </c>
      <c r="D43" s="4" t="s">
        <v>115</v>
      </c>
      <c r="E43" s="3">
        <v>7.2815533980582534E-2</v>
      </c>
      <c r="F43">
        <v>154.69999999999999</v>
      </c>
    </row>
    <row r="44" spans="1:6" x14ac:dyDescent="0.3">
      <c r="A44" t="s">
        <v>54</v>
      </c>
      <c r="B44">
        <v>2020</v>
      </c>
      <c r="C44" t="s">
        <v>63</v>
      </c>
      <c r="D44" s="4" t="s">
        <v>116</v>
      </c>
      <c r="E44" s="3">
        <v>7.8620689655172452E-2</v>
      </c>
      <c r="F44">
        <v>156.4</v>
      </c>
    </row>
    <row r="45" spans="1:6" x14ac:dyDescent="0.3">
      <c r="A45" t="s">
        <v>54</v>
      </c>
      <c r="B45">
        <v>2020</v>
      </c>
      <c r="C45" t="s">
        <v>65</v>
      </c>
      <c r="D45" s="4" t="s">
        <v>117</v>
      </c>
      <c r="E45" s="3">
        <v>8.6419753086419707E-2</v>
      </c>
      <c r="F45">
        <v>158.4</v>
      </c>
    </row>
    <row r="46" spans="1:6" x14ac:dyDescent="0.3">
      <c r="A46" t="s">
        <v>54</v>
      </c>
      <c r="B46">
        <v>2020</v>
      </c>
      <c r="C46" t="s">
        <v>66</v>
      </c>
      <c r="D46" s="4" t="s">
        <v>118</v>
      </c>
      <c r="E46" s="3">
        <v>7.948369565217403E-2</v>
      </c>
      <c r="F46">
        <v>158.9</v>
      </c>
    </row>
    <row r="47" spans="1:6" x14ac:dyDescent="0.3">
      <c r="A47" t="s">
        <v>54</v>
      </c>
      <c r="B47">
        <v>2021</v>
      </c>
      <c r="C47" t="s">
        <v>51</v>
      </c>
      <c r="D47" s="4" t="s">
        <v>119</v>
      </c>
      <c r="E47" s="3">
        <v>5.8546433378196615E-2</v>
      </c>
      <c r="F47">
        <v>157.30000000000001</v>
      </c>
    </row>
    <row r="48" spans="1:6" x14ac:dyDescent="0.3">
      <c r="A48" t="s">
        <v>54</v>
      </c>
      <c r="B48">
        <v>2021</v>
      </c>
      <c r="C48" t="s">
        <v>55</v>
      </c>
      <c r="D48" s="4" t="s">
        <v>120</v>
      </c>
      <c r="E48" s="3">
        <v>4.122340425531907E-2</v>
      </c>
      <c r="F48">
        <v>156.6</v>
      </c>
    </row>
    <row r="49" spans="1:6" x14ac:dyDescent="0.3">
      <c r="A49" t="s">
        <v>54</v>
      </c>
      <c r="B49">
        <v>2021</v>
      </c>
      <c r="C49" t="s">
        <v>56</v>
      </c>
      <c r="D49" s="4" t="s">
        <v>121</v>
      </c>
      <c r="E49" s="3">
        <v>4.3941411451398293E-2</v>
      </c>
      <c r="F49">
        <v>156.80000000000001</v>
      </c>
    </row>
    <row r="50" spans="1:6" x14ac:dyDescent="0.3">
      <c r="A50" t="s">
        <v>54</v>
      </c>
      <c r="B50">
        <v>2021</v>
      </c>
      <c r="C50" t="s">
        <v>57</v>
      </c>
      <c r="D50" s="4" t="s">
        <v>122</v>
      </c>
      <c r="E50" s="3">
        <v>5.8350100603621849E-2</v>
      </c>
      <c r="F50">
        <v>157.80000000000001</v>
      </c>
    </row>
    <row r="51" spans="1:6" x14ac:dyDescent="0.3">
      <c r="A51" t="s">
        <v>54</v>
      </c>
      <c r="B51">
        <v>2021</v>
      </c>
      <c r="C51" t="s">
        <v>58</v>
      </c>
      <c r="D51" s="4" t="s">
        <v>123</v>
      </c>
      <c r="E51" s="3">
        <v>7.9407806191117175E-2</v>
      </c>
      <c r="F51">
        <v>160.4</v>
      </c>
    </row>
    <row r="52" spans="1:6" x14ac:dyDescent="0.3">
      <c r="A52" t="s">
        <v>54</v>
      </c>
      <c r="B52">
        <v>2021</v>
      </c>
      <c r="C52" t="s">
        <v>59</v>
      </c>
      <c r="D52" s="4" t="s">
        <v>124</v>
      </c>
      <c r="E52" s="3">
        <v>6.2582345191040833E-2</v>
      </c>
      <c r="F52">
        <v>161.30000000000001</v>
      </c>
    </row>
    <row r="53" spans="1:6" x14ac:dyDescent="0.3">
      <c r="A53" t="s">
        <v>54</v>
      </c>
      <c r="B53">
        <v>2021</v>
      </c>
      <c r="C53" t="s">
        <v>60</v>
      </c>
      <c r="D53" s="4" t="s">
        <v>125</v>
      </c>
      <c r="E53" s="3">
        <v>7.0487483530961709E-2</v>
      </c>
      <c r="F53">
        <v>162.5</v>
      </c>
    </row>
    <row r="54" spans="1:6" x14ac:dyDescent="0.3">
      <c r="A54" t="s">
        <v>54</v>
      </c>
      <c r="B54">
        <v>2021</v>
      </c>
      <c r="C54" t="s">
        <v>61</v>
      </c>
      <c r="D54" s="4" t="s">
        <v>126</v>
      </c>
      <c r="E54" s="3">
        <v>6.0428849902533999E-2</v>
      </c>
      <c r="F54">
        <v>163.19999999999999</v>
      </c>
    </row>
    <row r="55" spans="1:6" x14ac:dyDescent="0.3">
      <c r="A55" t="s">
        <v>54</v>
      </c>
      <c r="B55">
        <v>2021</v>
      </c>
      <c r="C55" t="s">
        <v>62</v>
      </c>
      <c r="D55" s="4" t="s">
        <v>127</v>
      </c>
      <c r="E55" s="3">
        <v>5.4945054945054951E-2</v>
      </c>
      <c r="F55">
        <v>163.19999999999999</v>
      </c>
    </row>
    <row r="56" spans="1:6" x14ac:dyDescent="0.3">
      <c r="A56" t="s">
        <v>54</v>
      </c>
      <c r="B56">
        <v>2021</v>
      </c>
      <c r="C56" t="s">
        <v>63</v>
      </c>
      <c r="D56" s="4" t="s">
        <v>128</v>
      </c>
      <c r="E56" s="3">
        <v>5.8184143222506354E-2</v>
      </c>
      <c r="F56">
        <v>165.5</v>
      </c>
    </row>
    <row r="57" spans="1:6" x14ac:dyDescent="0.3">
      <c r="A57" t="s">
        <v>54</v>
      </c>
      <c r="B57">
        <v>2021</v>
      </c>
      <c r="C57" t="s">
        <v>65</v>
      </c>
      <c r="D57" s="4" t="s">
        <v>129</v>
      </c>
      <c r="E57" s="3">
        <v>5.2398989898989792E-2</v>
      </c>
      <c r="F57">
        <v>166.7</v>
      </c>
    </row>
    <row r="58" spans="1:6" x14ac:dyDescent="0.3">
      <c r="A58" t="s">
        <v>54</v>
      </c>
      <c r="B58">
        <v>2021</v>
      </c>
      <c r="C58" t="s">
        <v>66</v>
      </c>
      <c r="D58" s="4" t="s">
        <v>130</v>
      </c>
      <c r="E58" s="3">
        <v>4.5940843297671383E-2</v>
      </c>
      <c r="F58">
        <v>166.2</v>
      </c>
    </row>
    <row r="59" spans="1:6" x14ac:dyDescent="0.3">
      <c r="A59" t="s">
        <v>54</v>
      </c>
      <c r="B59">
        <v>2022</v>
      </c>
      <c r="C59" t="s">
        <v>51</v>
      </c>
      <c r="D59" s="4" t="s">
        <v>131</v>
      </c>
      <c r="E59" s="3">
        <v>5.3401144310235071E-2</v>
      </c>
      <c r="F59">
        <v>165.7</v>
      </c>
    </row>
    <row r="60" spans="1:6" x14ac:dyDescent="0.3">
      <c r="A60" t="s">
        <v>54</v>
      </c>
      <c r="B60">
        <v>2022</v>
      </c>
      <c r="C60" t="s">
        <v>55</v>
      </c>
      <c r="D60" s="4" t="s">
        <v>132</v>
      </c>
      <c r="E60" s="3">
        <v>6.066411238825032E-2</v>
      </c>
      <c r="F60">
        <v>166.1</v>
      </c>
    </row>
    <row r="61" spans="1:6" x14ac:dyDescent="0.3">
      <c r="A61" t="s">
        <v>54</v>
      </c>
      <c r="B61">
        <v>2022</v>
      </c>
      <c r="C61" t="s">
        <v>56</v>
      </c>
      <c r="D61" s="4" t="s">
        <v>133</v>
      </c>
      <c r="E61" s="3">
        <v>6.9515306122448828E-2</v>
      </c>
      <c r="F61">
        <v>167.7</v>
      </c>
    </row>
    <row r="62" spans="1:6" x14ac:dyDescent="0.3">
      <c r="A62" t="s">
        <v>54</v>
      </c>
      <c r="B62">
        <v>2022</v>
      </c>
      <c r="C62" t="s">
        <v>57</v>
      </c>
      <c r="D62" s="4" t="s">
        <v>134</v>
      </c>
      <c r="E62" s="3">
        <v>7.7946768060836391E-2</v>
      </c>
      <c r="F62">
        <v>170.1</v>
      </c>
    </row>
    <row r="63" spans="1:6" x14ac:dyDescent="0.3">
      <c r="A63" t="s">
        <v>54</v>
      </c>
      <c r="B63">
        <v>2022</v>
      </c>
      <c r="C63" t="s">
        <v>58</v>
      </c>
      <c r="D63" s="4" t="s">
        <v>135</v>
      </c>
      <c r="E63" s="3">
        <v>7.0448877805486171E-2</v>
      </c>
      <c r="F63">
        <v>171.7</v>
      </c>
    </row>
    <row r="64" spans="1:6" x14ac:dyDescent="0.3">
      <c r="A64" t="s">
        <v>54</v>
      </c>
      <c r="B64">
        <v>2022</v>
      </c>
      <c r="C64" t="s">
        <v>59</v>
      </c>
      <c r="D64" s="4" t="s">
        <v>136</v>
      </c>
      <c r="E64" s="3">
        <v>7.0055796652200755E-2</v>
      </c>
      <c r="F64">
        <v>172.6</v>
      </c>
    </row>
    <row r="65" spans="1:6" x14ac:dyDescent="0.3">
      <c r="A65" t="s">
        <v>54</v>
      </c>
      <c r="B65">
        <v>2022</v>
      </c>
      <c r="C65" t="s">
        <v>60</v>
      </c>
      <c r="D65" s="4" t="s">
        <v>137</v>
      </c>
      <c r="E65" s="3">
        <v>6.7076923076923117E-2</v>
      </c>
      <c r="F65">
        <v>173.4</v>
      </c>
    </row>
    <row r="66" spans="1:6" x14ac:dyDescent="0.3">
      <c r="A66" t="s">
        <v>54</v>
      </c>
      <c r="B66">
        <v>2022</v>
      </c>
      <c r="C66" t="s">
        <v>61</v>
      </c>
      <c r="D66" s="4" t="s">
        <v>138</v>
      </c>
      <c r="E66" s="3">
        <v>6.8014705882353088E-2</v>
      </c>
      <c r="F66">
        <v>174.3</v>
      </c>
    </row>
    <row r="67" spans="1:6" x14ac:dyDescent="0.3">
      <c r="A67" t="s">
        <v>54</v>
      </c>
      <c r="B67">
        <v>2022</v>
      </c>
      <c r="C67" t="s">
        <v>62</v>
      </c>
      <c r="D67" s="4" t="s">
        <v>139</v>
      </c>
      <c r="E67" s="3">
        <v>7.4142156862745237E-2</v>
      </c>
      <c r="F67">
        <v>175.3</v>
      </c>
    </row>
    <row r="68" spans="1:6" x14ac:dyDescent="0.3">
      <c r="A68" t="s">
        <v>54</v>
      </c>
      <c r="B68">
        <v>2022</v>
      </c>
      <c r="C68" t="s">
        <v>63</v>
      </c>
      <c r="D68" s="4" t="s">
        <v>140</v>
      </c>
      <c r="E68" s="3">
        <v>6.7673716012084523E-2</v>
      </c>
      <c r="F68">
        <v>176.7</v>
      </c>
    </row>
    <row r="69" spans="1:6" x14ac:dyDescent="0.3">
      <c r="A69" t="s">
        <v>54</v>
      </c>
      <c r="B69">
        <v>2022</v>
      </c>
      <c r="C69" t="s">
        <v>65</v>
      </c>
      <c r="D69" s="4" t="s">
        <v>141</v>
      </c>
      <c r="E69" s="3">
        <v>5.8788242351529768E-2</v>
      </c>
      <c r="F69">
        <v>176.5</v>
      </c>
    </row>
    <row r="70" spans="1:6" x14ac:dyDescent="0.3">
      <c r="A70" t="s">
        <v>54</v>
      </c>
      <c r="B70">
        <v>2022</v>
      </c>
      <c r="C70" t="s">
        <v>66</v>
      </c>
      <c r="D70" s="4" t="s">
        <v>142</v>
      </c>
      <c r="E70" s="3">
        <v>5.7160048134777382E-2</v>
      </c>
      <c r="F70">
        <v>175.7</v>
      </c>
    </row>
    <row r="71" spans="1:6" x14ac:dyDescent="0.3">
      <c r="A71" t="s">
        <v>54</v>
      </c>
      <c r="B71">
        <v>2023</v>
      </c>
      <c r="C71" t="s">
        <v>51</v>
      </c>
      <c r="D71" s="4" t="s">
        <v>143</v>
      </c>
      <c r="E71" s="3">
        <v>6.5178032589016374E-2</v>
      </c>
      <c r="F71">
        <v>176.5</v>
      </c>
    </row>
    <row r="72" spans="1:6" x14ac:dyDescent="0.3">
      <c r="A72" t="s">
        <v>54</v>
      </c>
      <c r="B72">
        <v>2023</v>
      </c>
      <c r="C72" t="s">
        <v>55</v>
      </c>
      <c r="D72" s="4" t="s">
        <v>144</v>
      </c>
      <c r="E72" s="3">
        <v>6.6827212522576729E-2</v>
      </c>
      <c r="F72">
        <v>177.2</v>
      </c>
    </row>
    <row r="73" spans="1:6" x14ac:dyDescent="0.3">
      <c r="A73" t="s">
        <v>54</v>
      </c>
      <c r="B73">
        <v>2023</v>
      </c>
      <c r="C73" t="s">
        <v>56</v>
      </c>
      <c r="D73" s="4" t="s">
        <v>145</v>
      </c>
      <c r="E73" s="3">
        <v>5.6648777579010143E-2</v>
      </c>
      <c r="F73">
        <v>177.2</v>
      </c>
    </row>
    <row r="74" spans="1:6" x14ac:dyDescent="0.3">
      <c r="A74" t="s">
        <v>54</v>
      </c>
      <c r="B74">
        <v>2023</v>
      </c>
      <c r="C74" t="s">
        <v>57</v>
      </c>
      <c r="D74" s="4" t="s">
        <v>146</v>
      </c>
      <c r="E74" s="3">
        <v>4.7031158142269255E-2</v>
      </c>
      <c r="F74">
        <v>178.1</v>
      </c>
    </row>
    <row r="75" spans="1:6" x14ac:dyDescent="0.3">
      <c r="A75" t="s">
        <v>54</v>
      </c>
      <c r="B75">
        <v>2023</v>
      </c>
      <c r="C75" t="s">
        <v>58</v>
      </c>
      <c r="D75" s="4" t="s">
        <v>147</v>
      </c>
      <c r="E75" s="3">
        <v>4.3098427489807842E-2</v>
      </c>
      <c r="F75">
        <v>179.1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ABA44-F7D0-4562-A8E5-B82130E35221}">
  <dimension ref="A1:R14"/>
  <sheetViews>
    <sheetView workbookViewId="0">
      <selection activeCell="G19" sqref="G19"/>
    </sheetView>
  </sheetViews>
  <sheetFormatPr defaultRowHeight="14.4" x14ac:dyDescent="0.3"/>
  <cols>
    <col min="16" max="16" width="23.33203125" customWidth="1"/>
    <col min="17" max="17" width="18.5546875" customWidth="1"/>
    <col min="18" max="18" width="20.5546875" customWidth="1"/>
  </cols>
  <sheetData>
    <row r="1" spans="1:18" x14ac:dyDescent="0.3">
      <c r="A1" t="s">
        <v>20</v>
      </c>
      <c r="B1" t="s">
        <v>21</v>
      </c>
      <c r="C1" t="s">
        <v>22</v>
      </c>
      <c r="D1" t="s">
        <v>23</v>
      </c>
      <c r="E1" t="s">
        <v>24</v>
      </c>
      <c r="F1" t="s">
        <v>25</v>
      </c>
      <c r="G1" t="s">
        <v>26</v>
      </c>
      <c r="H1" t="s">
        <v>27</v>
      </c>
      <c r="I1" t="s">
        <v>28</v>
      </c>
      <c r="J1" t="s">
        <v>29</v>
      </c>
      <c r="K1" t="s">
        <v>30</v>
      </c>
      <c r="L1" t="s">
        <v>31</v>
      </c>
      <c r="M1" t="s">
        <v>32</v>
      </c>
      <c r="N1" t="s">
        <v>33</v>
      </c>
      <c r="O1" t="s">
        <v>34</v>
      </c>
      <c r="P1" t="s">
        <v>35</v>
      </c>
      <c r="Q1" t="s">
        <v>149</v>
      </c>
      <c r="R1" t="s">
        <v>150</v>
      </c>
    </row>
    <row r="2" spans="1:18" x14ac:dyDescent="0.3">
      <c r="A2" t="s">
        <v>54</v>
      </c>
      <c r="B2">
        <v>2022</v>
      </c>
      <c r="C2" t="s">
        <v>58</v>
      </c>
      <c r="D2">
        <v>154.1</v>
      </c>
      <c r="E2">
        <v>217</v>
      </c>
      <c r="F2">
        <v>162.4</v>
      </c>
      <c r="G2">
        <v>164.9</v>
      </c>
      <c r="H2">
        <v>202.4</v>
      </c>
      <c r="I2">
        <v>171</v>
      </c>
      <c r="J2">
        <v>174.9</v>
      </c>
      <c r="K2">
        <v>164.7</v>
      </c>
      <c r="L2">
        <v>119.7</v>
      </c>
      <c r="M2">
        <v>184.9</v>
      </c>
      <c r="N2">
        <v>167.1</v>
      </c>
      <c r="O2">
        <v>182.5</v>
      </c>
      <c r="P2">
        <v>173.3</v>
      </c>
      <c r="Q2">
        <f>AVERAGE(D2:P2)</f>
        <v>172.22307692307697</v>
      </c>
    </row>
    <row r="3" spans="1:18" x14ac:dyDescent="0.3">
      <c r="A3" t="s">
        <v>54</v>
      </c>
      <c r="B3">
        <v>2022</v>
      </c>
      <c r="C3" t="s">
        <v>59</v>
      </c>
      <c r="D3">
        <v>155</v>
      </c>
      <c r="E3">
        <v>219.4</v>
      </c>
      <c r="F3">
        <v>170.8</v>
      </c>
      <c r="G3">
        <v>165.8</v>
      </c>
      <c r="H3">
        <v>200.9</v>
      </c>
      <c r="I3">
        <v>169.7</v>
      </c>
      <c r="J3">
        <v>182.3</v>
      </c>
      <c r="K3">
        <v>164.3</v>
      </c>
      <c r="L3">
        <v>119.9</v>
      </c>
      <c r="M3">
        <v>187.1</v>
      </c>
      <c r="N3">
        <v>167.9</v>
      </c>
      <c r="O3">
        <v>183.9</v>
      </c>
      <c r="P3">
        <v>174.9</v>
      </c>
      <c r="Q3">
        <f t="shared" ref="Q3:Q14" si="0">AVERAGE(D3:P3)</f>
        <v>173.99230769230769</v>
      </c>
      <c r="R3" s="5">
        <f t="shared" ref="R3:R14" si="1">(Q3-Q2)/Q2</f>
        <v>1.0272901871454425E-2</v>
      </c>
    </row>
    <row r="4" spans="1:18" x14ac:dyDescent="0.3">
      <c r="A4" t="s">
        <v>54</v>
      </c>
      <c r="B4">
        <v>2022</v>
      </c>
      <c r="C4" t="s">
        <v>60</v>
      </c>
      <c r="D4">
        <v>156.5</v>
      </c>
      <c r="E4">
        <v>213</v>
      </c>
      <c r="F4">
        <v>175.2</v>
      </c>
      <c r="G4">
        <v>166.6</v>
      </c>
      <c r="H4">
        <v>195.8</v>
      </c>
      <c r="I4">
        <v>174.2</v>
      </c>
      <c r="J4">
        <v>182.1</v>
      </c>
      <c r="K4">
        <v>164.3</v>
      </c>
      <c r="L4">
        <v>120</v>
      </c>
      <c r="M4">
        <v>190</v>
      </c>
      <c r="N4">
        <v>168.4</v>
      </c>
      <c r="O4">
        <v>185.2</v>
      </c>
      <c r="P4">
        <v>175</v>
      </c>
      <c r="Q4">
        <f t="shared" si="0"/>
        <v>174.33076923076925</v>
      </c>
      <c r="R4" s="5">
        <f t="shared" si="1"/>
        <v>1.9452672531943328E-3</v>
      </c>
    </row>
    <row r="5" spans="1:18" x14ac:dyDescent="0.3">
      <c r="A5" t="s">
        <v>54</v>
      </c>
      <c r="B5">
        <v>2022</v>
      </c>
      <c r="C5" t="s">
        <v>61</v>
      </c>
      <c r="D5">
        <v>160.30000000000001</v>
      </c>
      <c r="E5">
        <v>206.5</v>
      </c>
      <c r="F5">
        <v>169.2</v>
      </c>
      <c r="G5">
        <v>168.1</v>
      </c>
      <c r="H5">
        <v>192.4</v>
      </c>
      <c r="I5">
        <v>172.9</v>
      </c>
      <c r="J5">
        <v>186.7</v>
      </c>
      <c r="K5">
        <v>167.2</v>
      </c>
      <c r="L5">
        <v>120.9</v>
      </c>
      <c r="M5">
        <v>193.6</v>
      </c>
      <c r="N5">
        <v>168.8</v>
      </c>
      <c r="O5">
        <v>186.3</v>
      </c>
      <c r="P5">
        <v>176.3</v>
      </c>
      <c r="Q5">
        <f t="shared" si="0"/>
        <v>174.55384615384617</v>
      </c>
      <c r="R5" s="5">
        <f t="shared" si="1"/>
        <v>1.2796187618585007E-3</v>
      </c>
    </row>
    <row r="6" spans="1:18" x14ac:dyDescent="0.3">
      <c r="A6" t="s">
        <v>54</v>
      </c>
      <c r="B6">
        <v>2022</v>
      </c>
      <c r="C6" t="s">
        <v>62</v>
      </c>
      <c r="D6">
        <v>163.5</v>
      </c>
      <c r="E6">
        <v>209.2</v>
      </c>
      <c r="F6">
        <v>169.7</v>
      </c>
      <c r="G6">
        <v>169.7</v>
      </c>
      <c r="H6">
        <v>188.7</v>
      </c>
      <c r="I6">
        <v>165.7</v>
      </c>
      <c r="J6">
        <v>191.8</v>
      </c>
      <c r="K6">
        <v>169.1</v>
      </c>
      <c r="L6">
        <v>121.6</v>
      </c>
      <c r="M6">
        <v>197.3</v>
      </c>
      <c r="N6">
        <v>169.4</v>
      </c>
      <c r="O6">
        <v>187.4</v>
      </c>
      <c r="P6">
        <v>177.8</v>
      </c>
      <c r="Q6">
        <f t="shared" si="0"/>
        <v>175.45384615384617</v>
      </c>
      <c r="R6" s="5">
        <f t="shared" si="1"/>
        <v>5.1560021152829514E-3</v>
      </c>
    </row>
    <row r="7" spans="1:18" x14ac:dyDescent="0.3">
      <c r="A7" t="s">
        <v>54</v>
      </c>
      <c r="B7">
        <v>2022</v>
      </c>
      <c r="C7" t="s">
        <v>63</v>
      </c>
      <c r="D7">
        <v>165.2</v>
      </c>
      <c r="E7">
        <v>210.9</v>
      </c>
      <c r="F7">
        <v>170.9</v>
      </c>
      <c r="G7">
        <v>170.9</v>
      </c>
      <c r="H7">
        <v>186.5</v>
      </c>
      <c r="I7">
        <v>163.80000000000001</v>
      </c>
      <c r="J7">
        <v>199.7</v>
      </c>
      <c r="K7">
        <v>169.8</v>
      </c>
      <c r="L7">
        <v>121.9</v>
      </c>
      <c r="M7">
        <v>199.9</v>
      </c>
      <c r="N7">
        <v>169.9</v>
      </c>
      <c r="O7">
        <v>188.3</v>
      </c>
      <c r="P7">
        <v>179.6</v>
      </c>
      <c r="Q7">
        <f t="shared" si="0"/>
        <v>176.71538461538464</v>
      </c>
      <c r="R7" s="5">
        <f t="shared" si="1"/>
        <v>7.1901442413082701E-3</v>
      </c>
    </row>
    <row r="8" spans="1:18" x14ac:dyDescent="0.3">
      <c r="A8" t="s">
        <v>54</v>
      </c>
      <c r="B8">
        <v>2022</v>
      </c>
      <c r="C8" t="s">
        <v>65</v>
      </c>
      <c r="D8">
        <v>167.4</v>
      </c>
      <c r="E8">
        <v>209.4</v>
      </c>
      <c r="F8">
        <v>181.4</v>
      </c>
      <c r="G8">
        <v>172.3</v>
      </c>
      <c r="H8">
        <v>188.9</v>
      </c>
      <c r="I8">
        <v>160.69999999999999</v>
      </c>
      <c r="J8">
        <v>183.1</v>
      </c>
      <c r="K8">
        <v>170.5</v>
      </c>
      <c r="L8">
        <v>122.1</v>
      </c>
      <c r="M8">
        <v>202.8</v>
      </c>
      <c r="N8">
        <v>170.4</v>
      </c>
      <c r="O8">
        <v>189.5</v>
      </c>
      <c r="P8">
        <v>178.3</v>
      </c>
      <c r="Q8">
        <f t="shared" si="0"/>
        <v>176.67692307692309</v>
      </c>
      <c r="R8" s="5">
        <f t="shared" si="1"/>
        <v>-2.176468027685168E-4</v>
      </c>
    </row>
    <row r="9" spans="1:18" x14ac:dyDescent="0.3">
      <c r="A9" t="s">
        <v>54</v>
      </c>
      <c r="B9">
        <v>2022</v>
      </c>
      <c r="C9" t="s">
        <v>66</v>
      </c>
      <c r="D9">
        <v>169.2</v>
      </c>
      <c r="E9">
        <v>209</v>
      </c>
      <c r="F9">
        <v>190.2</v>
      </c>
      <c r="G9">
        <v>173.6</v>
      </c>
      <c r="H9">
        <v>188.5</v>
      </c>
      <c r="I9">
        <v>158</v>
      </c>
      <c r="J9">
        <v>159.9</v>
      </c>
      <c r="K9">
        <v>170.8</v>
      </c>
      <c r="L9">
        <v>121.8</v>
      </c>
      <c r="M9">
        <v>205.2</v>
      </c>
      <c r="N9">
        <v>171</v>
      </c>
      <c r="O9">
        <v>190.3</v>
      </c>
      <c r="P9">
        <v>175.9</v>
      </c>
      <c r="Q9">
        <f t="shared" si="0"/>
        <v>175.64615384615385</v>
      </c>
      <c r="R9" s="5">
        <f t="shared" si="1"/>
        <v>-5.8342041100662182E-3</v>
      </c>
    </row>
    <row r="10" spans="1:18" x14ac:dyDescent="0.3">
      <c r="A10" t="s">
        <v>54</v>
      </c>
      <c r="B10">
        <v>2023</v>
      </c>
      <c r="C10" t="s">
        <v>51</v>
      </c>
      <c r="D10">
        <v>173.8</v>
      </c>
      <c r="E10">
        <v>210.7</v>
      </c>
      <c r="F10">
        <v>194.5</v>
      </c>
      <c r="G10">
        <v>174.6</v>
      </c>
      <c r="H10">
        <v>187.2</v>
      </c>
      <c r="I10">
        <v>158.30000000000001</v>
      </c>
      <c r="J10">
        <v>153.9</v>
      </c>
      <c r="K10">
        <v>170.9</v>
      </c>
      <c r="L10">
        <v>121.1</v>
      </c>
      <c r="M10">
        <v>208.4</v>
      </c>
      <c r="N10">
        <v>171.4</v>
      </c>
      <c r="O10">
        <v>191.2</v>
      </c>
      <c r="P10">
        <v>176.7</v>
      </c>
      <c r="Q10">
        <f t="shared" si="0"/>
        <v>176.36153846153846</v>
      </c>
      <c r="R10" s="5">
        <f t="shared" si="1"/>
        <v>4.0728737847069707E-3</v>
      </c>
    </row>
    <row r="11" spans="1:18" x14ac:dyDescent="0.3">
      <c r="A11" t="s">
        <v>54</v>
      </c>
      <c r="B11">
        <v>2023</v>
      </c>
      <c r="C11" t="s">
        <v>55</v>
      </c>
      <c r="D11">
        <v>174.4</v>
      </c>
      <c r="E11">
        <v>207.7</v>
      </c>
      <c r="F11">
        <v>175.2</v>
      </c>
      <c r="G11">
        <v>177.3</v>
      </c>
      <c r="H11">
        <v>179.3</v>
      </c>
      <c r="I11">
        <v>169.5</v>
      </c>
      <c r="J11">
        <v>152.69999999999999</v>
      </c>
      <c r="K11">
        <v>171</v>
      </c>
      <c r="L11">
        <v>120</v>
      </c>
      <c r="M11">
        <v>209.7</v>
      </c>
      <c r="N11">
        <v>172.3</v>
      </c>
      <c r="O11">
        <v>193</v>
      </c>
      <c r="P11">
        <v>177</v>
      </c>
      <c r="Q11">
        <f t="shared" si="0"/>
        <v>175.3153846153846</v>
      </c>
      <c r="R11" s="5">
        <f t="shared" si="1"/>
        <v>-5.9318707201117182E-3</v>
      </c>
    </row>
    <row r="12" spans="1:18" x14ac:dyDescent="0.3">
      <c r="A12" t="s">
        <v>54</v>
      </c>
      <c r="B12">
        <v>2023</v>
      </c>
      <c r="C12" t="s">
        <v>56</v>
      </c>
      <c r="D12">
        <v>174.4</v>
      </c>
      <c r="E12">
        <v>207.7</v>
      </c>
      <c r="F12">
        <v>175.2</v>
      </c>
      <c r="G12">
        <v>177.3</v>
      </c>
      <c r="H12">
        <v>179.2</v>
      </c>
      <c r="I12">
        <v>169.5</v>
      </c>
      <c r="J12">
        <v>152.80000000000001</v>
      </c>
      <c r="K12">
        <v>171.1</v>
      </c>
      <c r="L12">
        <v>120</v>
      </c>
      <c r="M12">
        <v>209.7</v>
      </c>
      <c r="N12">
        <v>172.3</v>
      </c>
      <c r="O12">
        <v>193</v>
      </c>
      <c r="P12">
        <v>177</v>
      </c>
      <c r="Q12">
        <f t="shared" si="0"/>
        <v>175.32307692307691</v>
      </c>
      <c r="R12" s="5">
        <f t="shared" si="1"/>
        <v>4.3876968978992914E-5</v>
      </c>
    </row>
    <row r="13" spans="1:18" x14ac:dyDescent="0.3">
      <c r="A13" t="s">
        <v>54</v>
      </c>
      <c r="B13">
        <v>2023</v>
      </c>
      <c r="C13" t="s">
        <v>57</v>
      </c>
      <c r="D13">
        <v>173.8</v>
      </c>
      <c r="E13">
        <v>209.3</v>
      </c>
      <c r="F13">
        <v>169.6</v>
      </c>
      <c r="G13">
        <v>178.4</v>
      </c>
      <c r="H13">
        <v>174.9</v>
      </c>
      <c r="I13">
        <v>176.3</v>
      </c>
      <c r="J13">
        <v>155.4</v>
      </c>
      <c r="K13">
        <v>173.4</v>
      </c>
      <c r="L13">
        <v>121.3</v>
      </c>
      <c r="M13">
        <v>212.9</v>
      </c>
      <c r="N13">
        <v>172.9</v>
      </c>
      <c r="O13">
        <v>193.5</v>
      </c>
      <c r="P13">
        <v>177.9</v>
      </c>
      <c r="Q13">
        <f t="shared" si="0"/>
        <v>176.12307692307695</v>
      </c>
      <c r="R13" s="5">
        <f t="shared" si="1"/>
        <v>4.5630045630047902E-3</v>
      </c>
    </row>
    <row r="14" spans="1:18" x14ac:dyDescent="0.3">
      <c r="A14" t="s">
        <v>54</v>
      </c>
      <c r="B14">
        <v>2023</v>
      </c>
      <c r="C14" t="s">
        <v>58</v>
      </c>
      <c r="D14">
        <v>173.7</v>
      </c>
      <c r="E14">
        <v>214.3</v>
      </c>
      <c r="F14">
        <v>173.2</v>
      </c>
      <c r="G14">
        <v>179.5</v>
      </c>
      <c r="H14">
        <v>170</v>
      </c>
      <c r="I14">
        <v>172.2</v>
      </c>
      <c r="J14">
        <v>161</v>
      </c>
      <c r="K14">
        <v>175.6</v>
      </c>
      <c r="L14">
        <v>122.7</v>
      </c>
      <c r="M14">
        <v>218</v>
      </c>
      <c r="N14">
        <v>173.4</v>
      </c>
      <c r="O14">
        <v>194.2</v>
      </c>
      <c r="P14">
        <v>179.1</v>
      </c>
      <c r="Q14">
        <f t="shared" si="0"/>
        <v>177.45384615384617</v>
      </c>
      <c r="R14" s="5">
        <f t="shared" si="1"/>
        <v>7.555904961565281E-3</v>
      </c>
    </row>
  </sheetData>
  <autoFilter ref="A1:R14" xr:uid="{CBBABA44-F7D0-4562-A8E5-B82130E35221}"/>
  <conditionalFormatting sqref="R3:R14">
    <cfRule type="dataBar" priority="1">
      <dataBar>
        <cfvo type="min"/>
        <cfvo type="max"/>
        <color rgb="FF63C384"/>
      </dataBar>
      <extLst>
        <ext xmlns:x14="http://schemas.microsoft.com/office/spreadsheetml/2009/9/main" uri="{B025F937-C7B1-47D3-B67F-A62EFF666E3E}">
          <x14:id>{FE0FEC68-AED0-4544-A6A9-CCA447BF8610}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E0FEC68-AED0-4544-A6A9-CCA447BF8610}">
            <x14:dataBar minLength="0" maxLength="100" border="1" negativeBarBorderColorSameAsPositive="0">
              <x14:cfvo type="autoMin"/>
              <x14:cfvo type="autoMax"/>
              <x14:borderColor rgb="FF63C384"/>
              <x14:negativeFillColor rgb="FFFF0000"/>
              <x14:negativeBorderColor rgb="FFFF0000"/>
              <x14:axisColor rgb="FF000000"/>
            </x14:dataBar>
          </x14:cfRule>
          <xm:sqref>R3:R14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A4E7-F59E-4379-8A96-250BB0CE4D81}">
  <dimension ref="A1:P22"/>
  <sheetViews>
    <sheetView workbookViewId="0">
      <selection activeCell="T19" sqref="T19"/>
    </sheetView>
  </sheetViews>
  <sheetFormatPr defaultRowHeight="14.4" x14ac:dyDescent="0.3"/>
  <sheetData>
    <row r="1" spans="1:16" x14ac:dyDescent="0.3">
      <c r="A1" t="s">
        <v>20</v>
      </c>
      <c r="B1" t="s">
        <v>21</v>
      </c>
      <c r="C1" t="s">
        <v>22</v>
      </c>
      <c r="D1" t="s">
        <v>23</v>
      </c>
      <c r="E1" t="s">
        <v>24</v>
      </c>
      <c r="F1" t="s">
        <v>25</v>
      </c>
      <c r="G1" t="s">
        <v>26</v>
      </c>
      <c r="H1" t="s">
        <v>27</v>
      </c>
      <c r="I1" t="s">
        <v>28</v>
      </c>
      <c r="J1" t="s">
        <v>29</v>
      </c>
      <c r="K1" t="s">
        <v>30</v>
      </c>
      <c r="L1" t="s">
        <v>31</v>
      </c>
      <c r="M1" t="s">
        <v>32</v>
      </c>
      <c r="N1" t="s">
        <v>33</v>
      </c>
      <c r="O1" t="s">
        <v>34</v>
      </c>
      <c r="P1" t="s">
        <v>35</v>
      </c>
    </row>
    <row r="2" spans="1:16" x14ac:dyDescent="0.3">
      <c r="A2" t="s">
        <v>54</v>
      </c>
      <c r="B2">
        <v>2022</v>
      </c>
      <c r="C2" t="s">
        <v>58</v>
      </c>
      <c r="D2">
        <v>154.1</v>
      </c>
      <c r="E2">
        <v>217</v>
      </c>
      <c r="F2">
        <v>162.4</v>
      </c>
      <c r="G2">
        <v>164.9</v>
      </c>
      <c r="H2">
        <v>202.4</v>
      </c>
      <c r="I2">
        <v>171</v>
      </c>
      <c r="J2">
        <v>174.9</v>
      </c>
      <c r="K2">
        <v>164.7</v>
      </c>
      <c r="L2">
        <v>119.7</v>
      </c>
      <c r="M2">
        <v>184.9</v>
      </c>
      <c r="N2">
        <v>167.1</v>
      </c>
      <c r="O2">
        <v>182.5</v>
      </c>
      <c r="P2">
        <v>173.3</v>
      </c>
    </row>
    <row r="3" spans="1:16" x14ac:dyDescent="0.3">
      <c r="A3" t="s">
        <v>54</v>
      </c>
      <c r="B3">
        <v>2022</v>
      </c>
      <c r="C3" t="s">
        <v>59</v>
      </c>
      <c r="D3">
        <v>155</v>
      </c>
      <c r="E3">
        <v>219.4</v>
      </c>
      <c r="F3">
        <v>170.8</v>
      </c>
      <c r="G3">
        <v>165.8</v>
      </c>
      <c r="H3">
        <v>200.9</v>
      </c>
      <c r="I3">
        <v>169.7</v>
      </c>
      <c r="J3">
        <v>182.3</v>
      </c>
      <c r="K3">
        <v>164.3</v>
      </c>
      <c r="L3">
        <v>119.9</v>
      </c>
      <c r="M3">
        <v>187.1</v>
      </c>
      <c r="N3">
        <v>167.9</v>
      </c>
      <c r="O3">
        <v>183.9</v>
      </c>
      <c r="P3">
        <v>174.9</v>
      </c>
    </row>
    <row r="4" spans="1:16" x14ac:dyDescent="0.3">
      <c r="A4" t="s">
        <v>54</v>
      </c>
      <c r="B4">
        <v>2022</v>
      </c>
      <c r="C4" t="s">
        <v>60</v>
      </c>
      <c r="D4">
        <v>156.5</v>
      </c>
      <c r="E4">
        <v>213</v>
      </c>
      <c r="F4">
        <v>175.2</v>
      </c>
      <c r="G4">
        <v>166.6</v>
      </c>
      <c r="H4">
        <v>195.8</v>
      </c>
      <c r="I4">
        <v>174.2</v>
      </c>
      <c r="J4">
        <v>182.1</v>
      </c>
      <c r="K4">
        <v>164.3</v>
      </c>
      <c r="L4">
        <v>120</v>
      </c>
      <c r="M4">
        <v>190</v>
      </c>
      <c r="N4">
        <v>168.4</v>
      </c>
      <c r="O4">
        <v>185.2</v>
      </c>
      <c r="P4">
        <v>175</v>
      </c>
    </row>
    <row r="5" spans="1:16" x14ac:dyDescent="0.3">
      <c r="A5" t="s">
        <v>54</v>
      </c>
      <c r="B5">
        <v>2022</v>
      </c>
      <c r="C5" t="s">
        <v>61</v>
      </c>
      <c r="D5">
        <v>160.30000000000001</v>
      </c>
      <c r="E5">
        <v>206.5</v>
      </c>
      <c r="F5">
        <v>169.2</v>
      </c>
      <c r="G5">
        <v>168.1</v>
      </c>
      <c r="H5">
        <v>192.4</v>
      </c>
      <c r="I5">
        <v>172.9</v>
      </c>
      <c r="J5">
        <v>186.7</v>
      </c>
      <c r="K5">
        <v>167.2</v>
      </c>
      <c r="L5">
        <v>120.9</v>
      </c>
      <c r="M5">
        <v>193.6</v>
      </c>
      <c r="N5">
        <v>168.8</v>
      </c>
      <c r="O5">
        <v>186.3</v>
      </c>
      <c r="P5">
        <v>176.3</v>
      </c>
    </row>
    <row r="6" spans="1:16" x14ac:dyDescent="0.3">
      <c r="A6" t="s">
        <v>54</v>
      </c>
      <c r="B6">
        <v>2022</v>
      </c>
      <c r="C6" t="s">
        <v>62</v>
      </c>
      <c r="D6">
        <v>163.5</v>
      </c>
      <c r="E6">
        <v>209.2</v>
      </c>
      <c r="F6">
        <v>169.7</v>
      </c>
      <c r="G6">
        <v>169.7</v>
      </c>
      <c r="H6">
        <v>188.7</v>
      </c>
      <c r="I6">
        <v>165.7</v>
      </c>
      <c r="J6">
        <v>191.8</v>
      </c>
      <c r="K6">
        <v>169.1</v>
      </c>
      <c r="L6">
        <v>121.6</v>
      </c>
      <c r="M6">
        <v>197.3</v>
      </c>
      <c r="N6">
        <v>169.4</v>
      </c>
      <c r="O6">
        <v>187.4</v>
      </c>
      <c r="P6">
        <v>177.8</v>
      </c>
    </row>
    <row r="7" spans="1:16" x14ac:dyDescent="0.3">
      <c r="A7" t="s">
        <v>54</v>
      </c>
      <c r="B7">
        <v>2022</v>
      </c>
      <c r="C7" t="s">
        <v>63</v>
      </c>
      <c r="D7">
        <v>165.2</v>
      </c>
      <c r="E7">
        <v>210.9</v>
      </c>
      <c r="F7">
        <v>170.9</v>
      </c>
      <c r="G7">
        <v>170.9</v>
      </c>
      <c r="H7">
        <v>186.5</v>
      </c>
      <c r="I7">
        <v>163.80000000000001</v>
      </c>
      <c r="J7">
        <v>199.7</v>
      </c>
      <c r="K7">
        <v>169.8</v>
      </c>
      <c r="L7">
        <v>121.9</v>
      </c>
      <c r="M7">
        <v>199.9</v>
      </c>
      <c r="N7">
        <v>169.9</v>
      </c>
      <c r="O7">
        <v>188.3</v>
      </c>
      <c r="P7">
        <v>179.6</v>
      </c>
    </row>
    <row r="8" spans="1:16" x14ac:dyDescent="0.3">
      <c r="A8" t="s">
        <v>54</v>
      </c>
      <c r="B8">
        <v>2022</v>
      </c>
      <c r="C8" t="s">
        <v>65</v>
      </c>
      <c r="D8">
        <v>167.4</v>
      </c>
      <c r="E8">
        <v>209.4</v>
      </c>
      <c r="F8">
        <v>181.4</v>
      </c>
      <c r="G8">
        <v>172.3</v>
      </c>
      <c r="H8">
        <v>188.9</v>
      </c>
      <c r="I8">
        <v>160.69999999999999</v>
      </c>
      <c r="J8">
        <v>183.1</v>
      </c>
      <c r="K8">
        <v>170.5</v>
      </c>
      <c r="L8">
        <v>122.1</v>
      </c>
      <c r="M8">
        <v>202.8</v>
      </c>
      <c r="N8">
        <v>170.4</v>
      </c>
      <c r="O8">
        <v>189.5</v>
      </c>
      <c r="P8">
        <v>178.3</v>
      </c>
    </row>
    <row r="9" spans="1:16" x14ac:dyDescent="0.3">
      <c r="A9" t="s">
        <v>54</v>
      </c>
      <c r="B9">
        <v>2022</v>
      </c>
      <c r="C9" t="s">
        <v>66</v>
      </c>
      <c r="D9">
        <v>169.2</v>
      </c>
      <c r="E9">
        <v>209</v>
      </c>
      <c r="F9">
        <v>190.2</v>
      </c>
      <c r="G9">
        <v>173.6</v>
      </c>
      <c r="H9">
        <v>188.5</v>
      </c>
      <c r="I9">
        <v>158</v>
      </c>
      <c r="J9">
        <v>159.9</v>
      </c>
      <c r="K9">
        <v>170.8</v>
      </c>
      <c r="L9">
        <v>121.8</v>
      </c>
      <c r="M9">
        <v>205.2</v>
      </c>
      <c r="N9">
        <v>171</v>
      </c>
      <c r="O9">
        <v>190.3</v>
      </c>
      <c r="P9">
        <v>175.9</v>
      </c>
    </row>
    <row r="10" spans="1:16" x14ac:dyDescent="0.3">
      <c r="A10" t="s">
        <v>54</v>
      </c>
      <c r="B10">
        <v>2023</v>
      </c>
      <c r="C10" t="s">
        <v>51</v>
      </c>
      <c r="D10">
        <v>173.8</v>
      </c>
      <c r="E10">
        <v>210.7</v>
      </c>
      <c r="F10">
        <v>194.5</v>
      </c>
      <c r="G10">
        <v>174.6</v>
      </c>
      <c r="H10">
        <v>187.2</v>
      </c>
      <c r="I10">
        <v>158.30000000000001</v>
      </c>
      <c r="J10">
        <v>153.9</v>
      </c>
      <c r="K10">
        <v>170.9</v>
      </c>
      <c r="L10">
        <v>121.1</v>
      </c>
      <c r="M10">
        <v>208.4</v>
      </c>
      <c r="N10">
        <v>171.4</v>
      </c>
      <c r="O10">
        <v>191.2</v>
      </c>
      <c r="P10">
        <v>176.7</v>
      </c>
    </row>
    <row r="11" spans="1:16" x14ac:dyDescent="0.3">
      <c r="A11" t="s">
        <v>54</v>
      </c>
      <c r="B11">
        <v>2023</v>
      </c>
      <c r="C11" t="s">
        <v>55</v>
      </c>
      <c r="D11">
        <v>174.4</v>
      </c>
      <c r="E11">
        <v>207.7</v>
      </c>
      <c r="F11">
        <v>175.2</v>
      </c>
      <c r="G11">
        <v>177.3</v>
      </c>
      <c r="H11">
        <v>179.3</v>
      </c>
      <c r="I11">
        <v>169.5</v>
      </c>
      <c r="J11">
        <v>152.69999999999999</v>
      </c>
      <c r="K11">
        <v>171</v>
      </c>
      <c r="L11">
        <v>120</v>
      </c>
      <c r="M11">
        <v>209.7</v>
      </c>
      <c r="N11">
        <v>172.3</v>
      </c>
      <c r="O11">
        <v>193</v>
      </c>
      <c r="P11">
        <v>177</v>
      </c>
    </row>
    <row r="12" spans="1:16" x14ac:dyDescent="0.3">
      <c r="A12" t="s">
        <v>54</v>
      </c>
      <c r="B12">
        <v>2023</v>
      </c>
      <c r="C12" t="s">
        <v>56</v>
      </c>
      <c r="D12">
        <v>174.4</v>
      </c>
      <c r="E12">
        <v>207.7</v>
      </c>
      <c r="F12">
        <v>175.2</v>
      </c>
      <c r="G12">
        <v>177.3</v>
      </c>
      <c r="H12">
        <v>179.2</v>
      </c>
      <c r="I12">
        <v>169.5</v>
      </c>
      <c r="J12">
        <v>152.80000000000001</v>
      </c>
      <c r="K12">
        <v>171.1</v>
      </c>
      <c r="L12">
        <v>120</v>
      </c>
      <c r="M12">
        <v>209.7</v>
      </c>
      <c r="N12">
        <v>172.3</v>
      </c>
      <c r="O12">
        <v>193</v>
      </c>
      <c r="P12">
        <v>177</v>
      </c>
    </row>
    <row r="13" spans="1:16" x14ac:dyDescent="0.3">
      <c r="A13" t="s">
        <v>54</v>
      </c>
      <c r="B13">
        <v>2023</v>
      </c>
      <c r="C13" t="s">
        <v>57</v>
      </c>
      <c r="D13">
        <v>173.8</v>
      </c>
      <c r="E13">
        <v>209.3</v>
      </c>
      <c r="F13">
        <v>169.6</v>
      </c>
      <c r="G13">
        <v>178.4</v>
      </c>
      <c r="H13">
        <v>174.9</v>
      </c>
      <c r="I13">
        <v>176.3</v>
      </c>
      <c r="J13">
        <v>155.4</v>
      </c>
      <c r="K13">
        <v>173.4</v>
      </c>
      <c r="L13">
        <v>121.3</v>
      </c>
      <c r="M13">
        <v>212.9</v>
      </c>
      <c r="N13">
        <v>172.9</v>
      </c>
      <c r="O13">
        <v>193.5</v>
      </c>
      <c r="P13">
        <v>177.9</v>
      </c>
    </row>
    <row r="14" spans="1:16" x14ac:dyDescent="0.3">
      <c r="A14" t="s">
        <v>54</v>
      </c>
      <c r="B14">
        <v>2023</v>
      </c>
      <c r="C14" t="s">
        <v>58</v>
      </c>
      <c r="D14">
        <v>173.7</v>
      </c>
      <c r="E14">
        <v>214.3</v>
      </c>
      <c r="F14">
        <v>173.2</v>
      </c>
      <c r="G14">
        <v>179.5</v>
      </c>
      <c r="H14">
        <v>170</v>
      </c>
      <c r="I14">
        <v>172.2</v>
      </c>
      <c r="J14">
        <v>161</v>
      </c>
      <c r="K14">
        <v>175.6</v>
      </c>
      <c r="L14">
        <v>122.7</v>
      </c>
      <c r="M14">
        <v>218</v>
      </c>
      <c r="N14">
        <v>173.4</v>
      </c>
      <c r="O14">
        <v>194.2</v>
      </c>
      <c r="P14">
        <v>179.1</v>
      </c>
    </row>
    <row r="18" spans="2:16" x14ac:dyDescent="0.3">
      <c r="B18" t="s">
        <v>158</v>
      </c>
      <c r="D18">
        <f>D14-D3</f>
        <v>18.699999999999989</v>
      </c>
      <c r="E18">
        <f t="shared" ref="E18:P18" si="0">E14-E3</f>
        <v>-5.0999999999999943</v>
      </c>
      <c r="F18">
        <f t="shared" si="0"/>
        <v>2.3999999999999773</v>
      </c>
      <c r="G18">
        <f t="shared" si="0"/>
        <v>13.699999999999989</v>
      </c>
      <c r="H18">
        <f t="shared" si="0"/>
        <v>-30.900000000000006</v>
      </c>
      <c r="I18">
        <f t="shared" si="0"/>
        <v>2.5</v>
      </c>
      <c r="J18">
        <f t="shared" si="0"/>
        <v>-21.300000000000011</v>
      </c>
      <c r="K18">
        <f t="shared" si="0"/>
        <v>11.299999999999983</v>
      </c>
      <c r="L18">
        <f t="shared" si="0"/>
        <v>2.7999999999999972</v>
      </c>
      <c r="M18">
        <f t="shared" si="0"/>
        <v>30.900000000000006</v>
      </c>
      <c r="N18">
        <f t="shared" si="0"/>
        <v>5.5</v>
      </c>
      <c r="O18">
        <f t="shared" si="0"/>
        <v>10.299999999999983</v>
      </c>
      <c r="P18">
        <f t="shared" si="0"/>
        <v>4.1999999999999886</v>
      </c>
    </row>
    <row r="21" spans="2:16" x14ac:dyDescent="0.3">
      <c r="D21" s="6"/>
      <c r="E21" s="6"/>
      <c r="F21" s="6"/>
      <c r="G21" s="6"/>
      <c r="H21" s="6"/>
      <c r="I21" s="6"/>
      <c r="J21" s="6"/>
      <c r="K21" s="6"/>
      <c r="L21" s="6"/>
      <c r="M21" s="6"/>
      <c r="N21" s="6"/>
      <c r="O21" s="6"/>
      <c r="P21" s="6"/>
    </row>
    <row r="22" spans="2:16" x14ac:dyDescent="0.3">
      <c r="D22" s="3"/>
    </row>
  </sheetData>
  <conditionalFormatting sqref="D18:P18">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D932-6558-459A-88F1-64C1F040DD5B}">
  <dimension ref="A1:AD16"/>
  <sheetViews>
    <sheetView topLeftCell="B1" workbookViewId="0">
      <selection activeCell="J14" sqref="J14"/>
    </sheetView>
  </sheetViews>
  <sheetFormatPr defaultRowHeight="14.4" x14ac:dyDescent="0.3"/>
  <cols>
    <col min="3" max="3" width="19.44140625" customWidth="1"/>
    <col min="17" max="23" width="0" hidden="1" customWidth="1"/>
    <col min="26" max="30" width="0" hidden="1" customWidth="1"/>
  </cols>
  <sheetData>
    <row r="1" spans="1:30" x14ac:dyDescent="0.3">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49</v>
      </c>
    </row>
    <row r="2" spans="1:30" x14ac:dyDescent="0.3">
      <c r="A2" t="s">
        <v>54</v>
      </c>
      <c r="B2">
        <v>2019</v>
      </c>
      <c r="C2" t="s">
        <v>63</v>
      </c>
      <c r="D2">
        <v>141.80000000000001</v>
      </c>
      <c r="E2">
        <v>161</v>
      </c>
      <c r="F2">
        <v>142.6</v>
      </c>
      <c r="G2">
        <v>146.19999999999999</v>
      </c>
      <c r="H2">
        <v>123.9</v>
      </c>
      <c r="I2">
        <v>148</v>
      </c>
      <c r="J2">
        <v>188.4</v>
      </c>
      <c r="K2">
        <v>132.5</v>
      </c>
      <c r="L2">
        <v>114</v>
      </c>
      <c r="M2">
        <v>145.4</v>
      </c>
      <c r="N2">
        <v>135.1</v>
      </c>
      <c r="O2">
        <v>157.1</v>
      </c>
      <c r="P2">
        <v>149.6</v>
      </c>
      <c r="Q2">
        <v>167.1</v>
      </c>
      <c r="R2">
        <v>149.4</v>
      </c>
      <c r="S2">
        <v>140.80000000000001</v>
      </c>
      <c r="T2">
        <v>148.19999999999999</v>
      </c>
      <c r="U2">
        <v>153</v>
      </c>
      <c r="V2">
        <v>140.6</v>
      </c>
      <c r="W2">
        <v>145</v>
      </c>
      <c r="X2">
        <v>149.4</v>
      </c>
      <c r="Y2">
        <v>126.3</v>
      </c>
      <c r="Z2">
        <v>141.69999999999999</v>
      </c>
      <c r="AA2">
        <v>155.4</v>
      </c>
      <c r="AB2">
        <v>140</v>
      </c>
      <c r="AC2">
        <v>141</v>
      </c>
      <c r="AD2">
        <v>147.19999999999999</v>
      </c>
    </row>
    <row r="3" spans="1:30" x14ac:dyDescent="0.3">
      <c r="A3" t="s">
        <v>54</v>
      </c>
      <c r="B3">
        <v>2019</v>
      </c>
      <c r="C3" t="s">
        <v>65</v>
      </c>
      <c r="D3">
        <v>142.5</v>
      </c>
      <c r="E3">
        <v>163.19999999999999</v>
      </c>
      <c r="F3">
        <v>145.6</v>
      </c>
      <c r="G3">
        <v>146.69999999999999</v>
      </c>
      <c r="H3">
        <v>124.3</v>
      </c>
      <c r="I3">
        <v>147.4</v>
      </c>
      <c r="J3">
        <v>199.6</v>
      </c>
      <c r="K3">
        <v>135.69999999999999</v>
      </c>
      <c r="L3">
        <v>114.2</v>
      </c>
      <c r="M3">
        <v>147</v>
      </c>
      <c r="N3">
        <v>135.30000000000001</v>
      </c>
      <c r="O3">
        <v>157.5</v>
      </c>
      <c r="P3">
        <v>151.9</v>
      </c>
      <c r="Q3">
        <v>167.9</v>
      </c>
      <c r="R3">
        <v>149.9</v>
      </c>
      <c r="S3">
        <v>141</v>
      </c>
      <c r="T3">
        <v>148.6</v>
      </c>
      <c r="U3">
        <v>153.5</v>
      </c>
      <c r="V3">
        <v>142.30000000000001</v>
      </c>
      <c r="W3">
        <v>145.30000000000001</v>
      </c>
      <c r="X3">
        <v>149.9</v>
      </c>
      <c r="Y3">
        <v>126.6</v>
      </c>
      <c r="Z3">
        <v>142.1</v>
      </c>
      <c r="AA3">
        <v>155.5</v>
      </c>
      <c r="AB3">
        <v>140.30000000000001</v>
      </c>
      <c r="AC3">
        <v>141.30000000000001</v>
      </c>
      <c r="AD3">
        <v>148.6</v>
      </c>
    </row>
    <row r="4" spans="1:30" x14ac:dyDescent="0.3">
      <c r="A4" t="s">
        <v>54</v>
      </c>
      <c r="B4">
        <v>2019</v>
      </c>
      <c r="C4" t="s">
        <v>66</v>
      </c>
      <c r="D4">
        <v>143.5</v>
      </c>
      <c r="E4">
        <v>165</v>
      </c>
      <c r="F4">
        <v>151.1</v>
      </c>
      <c r="G4">
        <v>148.30000000000001</v>
      </c>
      <c r="H4">
        <v>125.7</v>
      </c>
      <c r="I4">
        <v>145.69999999999999</v>
      </c>
      <c r="J4">
        <v>217</v>
      </c>
      <c r="K4">
        <v>138.30000000000001</v>
      </c>
      <c r="L4">
        <v>114</v>
      </c>
      <c r="M4">
        <v>148.69999999999999</v>
      </c>
      <c r="N4">
        <v>135.80000000000001</v>
      </c>
      <c r="O4">
        <v>158</v>
      </c>
      <c r="P4">
        <v>155</v>
      </c>
      <c r="Q4">
        <v>168.5</v>
      </c>
      <c r="R4">
        <v>150.30000000000001</v>
      </c>
      <c r="S4">
        <v>141.30000000000001</v>
      </c>
      <c r="T4">
        <v>149</v>
      </c>
      <c r="U4">
        <v>152.80000000000001</v>
      </c>
      <c r="V4">
        <v>143.69999999999999</v>
      </c>
      <c r="W4">
        <v>145.80000000000001</v>
      </c>
      <c r="X4">
        <v>150.4</v>
      </c>
      <c r="Y4">
        <v>129.80000000000001</v>
      </c>
      <c r="Z4">
        <v>142.30000000000001</v>
      </c>
      <c r="AA4">
        <v>155.69999999999999</v>
      </c>
      <c r="AB4">
        <v>140.4</v>
      </c>
      <c r="AC4">
        <v>142.5</v>
      </c>
      <c r="AD4">
        <v>150.4</v>
      </c>
    </row>
    <row r="5" spans="1:30" x14ac:dyDescent="0.3">
      <c r="A5" t="s">
        <v>54</v>
      </c>
      <c r="B5">
        <v>2020</v>
      </c>
      <c r="C5" t="s">
        <v>51</v>
      </c>
      <c r="D5">
        <v>144.30000000000001</v>
      </c>
      <c r="E5">
        <v>167.4</v>
      </c>
      <c r="F5">
        <v>154.9</v>
      </c>
      <c r="G5">
        <v>150.1</v>
      </c>
      <c r="H5">
        <v>129.9</v>
      </c>
      <c r="I5">
        <v>143.19999999999999</v>
      </c>
      <c r="J5">
        <v>197</v>
      </c>
      <c r="K5">
        <v>140.4</v>
      </c>
      <c r="L5">
        <v>114.1</v>
      </c>
      <c r="M5">
        <v>150.9</v>
      </c>
      <c r="N5">
        <v>136.1</v>
      </c>
      <c r="O5">
        <v>158.6</v>
      </c>
      <c r="P5">
        <v>153.5</v>
      </c>
      <c r="Q5">
        <v>169.2</v>
      </c>
      <c r="R5">
        <v>150.5</v>
      </c>
      <c r="S5">
        <v>141.5</v>
      </c>
      <c r="T5">
        <v>149.19999999999999</v>
      </c>
      <c r="U5">
        <v>153.9</v>
      </c>
      <c r="V5">
        <v>144.6</v>
      </c>
      <c r="W5">
        <v>146.19999999999999</v>
      </c>
      <c r="X5">
        <v>151.19999999999999</v>
      </c>
      <c r="Y5">
        <v>130.9</v>
      </c>
      <c r="Z5">
        <v>142.80000000000001</v>
      </c>
      <c r="AA5">
        <v>156.1</v>
      </c>
      <c r="AB5">
        <v>142.30000000000001</v>
      </c>
      <c r="AC5">
        <v>143.4</v>
      </c>
      <c r="AD5">
        <v>150.19999999999999</v>
      </c>
    </row>
    <row r="6" spans="1:30" x14ac:dyDescent="0.3">
      <c r="A6" t="s">
        <v>54</v>
      </c>
      <c r="B6">
        <v>2020</v>
      </c>
      <c r="C6" t="s">
        <v>55</v>
      </c>
      <c r="D6">
        <v>144.80000000000001</v>
      </c>
      <c r="E6">
        <v>167.5</v>
      </c>
      <c r="F6">
        <v>151.80000000000001</v>
      </c>
      <c r="G6">
        <v>150.80000000000001</v>
      </c>
      <c r="H6">
        <v>131.4</v>
      </c>
      <c r="I6">
        <v>141.80000000000001</v>
      </c>
      <c r="J6">
        <v>170.7</v>
      </c>
      <c r="K6">
        <v>141.1</v>
      </c>
      <c r="L6">
        <v>113.6</v>
      </c>
      <c r="M6">
        <v>152</v>
      </c>
      <c r="N6">
        <v>136.5</v>
      </c>
      <c r="O6">
        <v>159.1</v>
      </c>
      <c r="P6">
        <v>150.5</v>
      </c>
      <c r="Q6">
        <v>170.1</v>
      </c>
      <c r="R6">
        <v>150.80000000000001</v>
      </c>
      <c r="S6">
        <v>141.69999999999999</v>
      </c>
      <c r="T6">
        <v>149.5</v>
      </c>
      <c r="U6">
        <v>154.80000000000001</v>
      </c>
      <c r="V6">
        <v>147.19999999999999</v>
      </c>
      <c r="W6">
        <v>146.4</v>
      </c>
      <c r="X6">
        <v>151.69999999999999</v>
      </c>
      <c r="Y6">
        <v>130.30000000000001</v>
      </c>
      <c r="Z6">
        <v>143.19999999999999</v>
      </c>
      <c r="AA6">
        <v>156.19999999999999</v>
      </c>
      <c r="AB6">
        <v>143.4</v>
      </c>
      <c r="AC6">
        <v>143.6</v>
      </c>
      <c r="AD6">
        <v>149.1</v>
      </c>
    </row>
    <row r="7" spans="1:30" x14ac:dyDescent="0.3">
      <c r="A7" t="s">
        <v>54</v>
      </c>
      <c r="B7">
        <v>2020</v>
      </c>
      <c r="C7" t="s">
        <v>56</v>
      </c>
      <c r="D7">
        <v>145.1</v>
      </c>
      <c r="E7">
        <v>167</v>
      </c>
      <c r="F7">
        <v>148.1</v>
      </c>
      <c r="G7">
        <v>151.5</v>
      </c>
      <c r="H7">
        <v>131.19999999999999</v>
      </c>
      <c r="I7">
        <v>142.5</v>
      </c>
      <c r="J7">
        <v>157.30000000000001</v>
      </c>
      <c r="K7">
        <v>141.1</v>
      </c>
      <c r="L7">
        <v>113.2</v>
      </c>
      <c r="M7">
        <v>153.19999999999999</v>
      </c>
      <c r="N7">
        <v>136.69999999999999</v>
      </c>
      <c r="O7">
        <v>159.6</v>
      </c>
      <c r="P7">
        <v>148.9</v>
      </c>
      <c r="Q7">
        <v>171.2</v>
      </c>
      <c r="R7">
        <v>151.19999999999999</v>
      </c>
      <c r="S7">
        <v>141.9</v>
      </c>
      <c r="T7">
        <v>149.80000000000001</v>
      </c>
      <c r="U7">
        <v>154.5</v>
      </c>
      <c r="V7">
        <v>148.9</v>
      </c>
      <c r="W7">
        <v>146.4</v>
      </c>
      <c r="X7">
        <v>152.30000000000001</v>
      </c>
      <c r="Y7">
        <v>129.9</v>
      </c>
      <c r="Z7">
        <v>143.69999999999999</v>
      </c>
      <c r="AA7">
        <v>156.1</v>
      </c>
      <c r="AB7">
        <v>145.19999999999999</v>
      </c>
      <c r="AC7">
        <v>143.80000000000001</v>
      </c>
      <c r="AD7">
        <v>148.6</v>
      </c>
    </row>
    <row r="8" spans="1:30" x14ac:dyDescent="0.3">
      <c r="A8" t="s">
        <v>54</v>
      </c>
      <c r="B8">
        <v>2020</v>
      </c>
      <c r="C8" t="s">
        <v>57</v>
      </c>
      <c r="D8">
        <v>148.69999999999999</v>
      </c>
      <c r="E8" t="s">
        <v>52</v>
      </c>
      <c r="F8">
        <v>148.80000000000001</v>
      </c>
      <c r="G8">
        <v>155.6</v>
      </c>
      <c r="H8">
        <v>135.1</v>
      </c>
      <c r="I8">
        <v>149.9</v>
      </c>
      <c r="J8">
        <v>168.6</v>
      </c>
      <c r="K8">
        <v>150.4</v>
      </c>
      <c r="L8">
        <v>120.3</v>
      </c>
      <c r="M8">
        <v>157.1</v>
      </c>
      <c r="N8">
        <v>136.80000000000001</v>
      </c>
      <c r="O8" t="s">
        <v>52</v>
      </c>
      <c r="P8">
        <v>151.4</v>
      </c>
      <c r="Q8" t="s">
        <v>52</v>
      </c>
      <c r="R8" t="s">
        <v>52</v>
      </c>
      <c r="S8" t="s">
        <v>52</v>
      </c>
      <c r="T8" t="s">
        <v>52</v>
      </c>
      <c r="U8">
        <v>155.6</v>
      </c>
      <c r="V8">
        <v>144.1</v>
      </c>
      <c r="W8" t="s">
        <v>52</v>
      </c>
      <c r="X8">
        <v>150.69999999999999</v>
      </c>
      <c r="Y8" t="s">
        <v>52</v>
      </c>
      <c r="Z8" t="s">
        <v>52</v>
      </c>
      <c r="AA8" t="s">
        <v>52</v>
      </c>
      <c r="AB8" t="s">
        <v>52</v>
      </c>
      <c r="AC8" t="s">
        <v>52</v>
      </c>
      <c r="AD8" t="s">
        <v>52</v>
      </c>
    </row>
    <row r="9" spans="1:30" x14ac:dyDescent="0.3">
      <c r="A9" t="s">
        <v>54</v>
      </c>
      <c r="B9">
        <v>2020</v>
      </c>
      <c r="C9" t="s">
        <v>58</v>
      </c>
      <c r="D9" t="s">
        <v>52</v>
      </c>
      <c r="E9" t="s">
        <v>52</v>
      </c>
      <c r="F9" t="s">
        <v>52</v>
      </c>
      <c r="G9" t="s">
        <v>52</v>
      </c>
      <c r="H9" t="s">
        <v>52</v>
      </c>
      <c r="I9" t="s">
        <v>52</v>
      </c>
      <c r="J9" t="s">
        <v>52</v>
      </c>
      <c r="K9" t="s">
        <v>52</v>
      </c>
      <c r="L9" t="s">
        <v>52</v>
      </c>
      <c r="M9" t="s">
        <v>52</v>
      </c>
      <c r="N9" t="s">
        <v>52</v>
      </c>
      <c r="O9" t="s">
        <v>52</v>
      </c>
      <c r="P9" t="s">
        <v>52</v>
      </c>
      <c r="Q9" t="s">
        <v>52</v>
      </c>
      <c r="R9" t="s">
        <v>52</v>
      </c>
      <c r="S9" t="s">
        <v>52</v>
      </c>
      <c r="T9" t="s">
        <v>52</v>
      </c>
      <c r="U9" t="s">
        <v>52</v>
      </c>
      <c r="V9" t="s">
        <v>52</v>
      </c>
      <c r="W9" t="s">
        <v>52</v>
      </c>
      <c r="X9" t="s">
        <v>52</v>
      </c>
      <c r="Y9" t="s">
        <v>52</v>
      </c>
      <c r="Z9" t="s">
        <v>52</v>
      </c>
      <c r="AA9" t="s">
        <v>52</v>
      </c>
      <c r="AB9" t="s">
        <v>52</v>
      </c>
      <c r="AC9" t="s">
        <v>52</v>
      </c>
      <c r="AD9" t="s">
        <v>52</v>
      </c>
    </row>
    <row r="10" spans="1:30" x14ac:dyDescent="0.3">
      <c r="A10" t="s">
        <v>54</v>
      </c>
      <c r="B10">
        <v>2020</v>
      </c>
      <c r="C10" t="s">
        <v>59</v>
      </c>
      <c r="D10">
        <v>149.6</v>
      </c>
      <c r="E10">
        <v>192.7</v>
      </c>
      <c r="F10">
        <v>151.4</v>
      </c>
      <c r="G10">
        <v>153.30000000000001</v>
      </c>
      <c r="H10">
        <v>136.30000000000001</v>
      </c>
      <c r="I10">
        <v>147.19999999999999</v>
      </c>
      <c r="J10">
        <v>156.5</v>
      </c>
      <c r="K10">
        <v>150.9</v>
      </c>
      <c r="L10">
        <v>114.2</v>
      </c>
      <c r="M10">
        <v>159.5</v>
      </c>
      <c r="N10">
        <v>139.4</v>
      </c>
      <c r="O10">
        <v>161.80000000000001</v>
      </c>
      <c r="P10">
        <v>154</v>
      </c>
      <c r="Q10">
        <v>183.5</v>
      </c>
      <c r="R10">
        <v>152.5</v>
      </c>
      <c r="S10">
        <v>144.4</v>
      </c>
      <c r="T10">
        <v>151.4</v>
      </c>
      <c r="U10">
        <v>154.69999999999999</v>
      </c>
      <c r="V10">
        <v>141.9</v>
      </c>
      <c r="W10">
        <v>146.4</v>
      </c>
      <c r="X10">
        <v>154.4</v>
      </c>
      <c r="Y10">
        <v>135</v>
      </c>
      <c r="Z10">
        <v>148.30000000000001</v>
      </c>
      <c r="AA10">
        <v>156.4</v>
      </c>
      <c r="AB10">
        <v>151.6</v>
      </c>
      <c r="AC10">
        <v>147</v>
      </c>
      <c r="AD10">
        <v>151.80000000000001</v>
      </c>
    </row>
    <row r="11" spans="1:30" x14ac:dyDescent="0.3">
      <c r="A11" t="s">
        <v>54</v>
      </c>
      <c r="B11">
        <v>2020</v>
      </c>
      <c r="C11" t="s">
        <v>60</v>
      </c>
      <c r="D11">
        <v>149.6</v>
      </c>
      <c r="E11">
        <v>192.7</v>
      </c>
      <c r="F11">
        <v>151.4</v>
      </c>
      <c r="G11">
        <v>153.30000000000001</v>
      </c>
      <c r="H11">
        <v>136.30000000000001</v>
      </c>
      <c r="I11">
        <v>147.19999999999999</v>
      </c>
      <c r="J11">
        <v>156.5</v>
      </c>
      <c r="K11">
        <v>150.9</v>
      </c>
      <c r="L11">
        <v>114.2</v>
      </c>
      <c r="M11">
        <v>159.5</v>
      </c>
      <c r="N11">
        <v>139.4</v>
      </c>
      <c r="O11">
        <v>161.80000000000001</v>
      </c>
      <c r="P11">
        <v>154</v>
      </c>
      <c r="Q11">
        <v>183.5</v>
      </c>
      <c r="R11">
        <v>152.5</v>
      </c>
      <c r="S11">
        <v>144.4</v>
      </c>
      <c r="T11">
        <v>151.4</v>
      </c>
      <c r="U11">
        <v>154.69999999999999</v>
      </c>
      <c r="V11">
        <v>141.9</v>
      </c>
      <c r="W11">
        <v>146.4</v>
      </c>
      <c r="X11">
        <v>154.4</v>
      </c>
      <c r="Y11">
        <v>135</v>
      </c>
      <c r="Z11">
        <v>148.30000000000001</v>
      </c>
      <c r="AA11">
        <v>156.4</v>
      </c>
      <c r="AB11">
        <v>151.6</v>
      </c>
      <c r="AC11">
        <v>147</v>
      </c>
      <c r="AD11">
        <v>151.80000000000001</v>
      </c>
    </row>
    <row r="12" spans="1:30" x14ac:dyDescent="0.3">
      <c r="A12" t="s">
        <v>54</v>
      </c>
      <c r="B12">
        <v>2020</v>
      </c>
      <c r="C12" t="s">
        <v>61</v>
      </c>
      <c r="D12">
        <v>148.9</v>
      </c>
      <c r="E12">
        <v>190.9</v>
      </c>
      <c r="F12">
        <v>150.80000000000001</v>
      </c>
      <c r="G12">
        <v>153.30000000000001</v>
      </c>
      <c r="H12">
        <v>137.4</v>
      </c>
      <c r="I12">
        <v>150.4</v>
      </c>
      <c r="J12">
        <v>178.1</v>
      </c>
      <c r="K12">
        <v>150.4</v>
      </c>
      <c r="L12">
        <v>115.1</v>
      </c>
      <c r="M12">
        <v>160</v>
      </c>
      <c r="N12">
        <v>140.6</v>
      </c>
      <c r="O12">
        <v>162.30000000000001</v>
      </c>
      <c r="P12">
        <v>157</v>
      </c>
      <c r="Q12">
        <v>182.6</v>
      </c>
      <c r="R12">
        <v>153.1</v>
      </c>
      <c r="S12">
        <v>143.4</v>
      </c>
      <c r="T12">
        <v>151.69999999999999</v>
      </c>
      <c r="U12">
        <v>155.5</v>
      </c>
      <c r="V12">
        <v>143</v>
      </c>
      <c r="W12">
        <v>148.4</v>
      </c>
      <c r="X12">
        <v>155</v>
      </c>
      <c r="Y12">
        <v>138.5</v>
      </c>
      <c r="Z12">
        <v>146</v>
      </c>
      <c r="AA12">
        <v>158.5</v>
      </c>
      <c r="AB12">
        <v>154.30000000000001</v>
      </c>
      <c r="AC12">
        <v>149</v>
      </c>
      <c r="AD12">
        <v>153.9</v>
      </c>
    </row>
    <row r="13" spans="1:30" x14ac:dyDescent="0.3">
      <c r="A13" t="s">
        <v>54</v>
      </c>
      <c r="B13">
        <v>2020</v>
      </c>
      <c r="C13" t="s">
        <v>62</v>
      </c>
      <c r="D13">
        <v>148.4</v>
      </c>
      <c r="E13">
        <v>187.1</v>
      </c>
      <c r="F13">
        <v>152.5</v>
      </c>
      <c r="G13">
        <v>153.6</v>
      </c>
      <c r="H13">
        <v>138.19999999999999</v>
      </c>
      <c r="I13">
        <v>150.9</v>
      </c>
      <c r="J13">
        <v>186.7</v>
      </c>
      <c r="K13">
        <v>149.80000000000001</v>
      </c>
      <c r="L13">
        <v>116.4</v>
      </c>
      <c r="M13">
        <v>160.30000000000001</v>
      </c>
      <c r="N13">
        <v>142.19999999999999</v>
      </c>
      <c r="O13">
        <v>162.9</v>
      </c>
      <c r="P13">
        <v>158</v>
      </c>
      <c r="Q13">
        <v>184.4</v>
      </c>
      <c r="R13">
        <v>153.4</v>
      </c>
      <c r="S13">
        <v>144.30000000000001</v>
      </c>
      <c r="T13">
        <v>152</v>
      </c>
      <c r="U13">
        <v>156.30000000000001</v>
      </c>
      <c r="V13">
        <v>142.9</v>
      </c>
      <c r="W13">
        <v>148.69999999999999</v>
      </c>
      <c r="X13">
        <v>155.6</v>
      </c>
      <c r="Y13">
        <v>139.6</v>
      </c>
      <c r="Z13">
        <v>146.6</v>
      </c>
      <c r="AA13">
        <v>157.5</v>
      </c>
      <c r="AB13">
        <v>158.4</v>
      </c>
      <c r="AC13">
        <v>150</v>
      </c>
      <c r="AD13">
        <v>154.69999999999999</v>
      </c>
    </row>
    <row r="14" spans="1:30" x14ac:dyDescent="0.3">
      <c r="C14" t="s">
        <v>162</v>
      </c>
      <c r="D14" s="5">
        <f>(D6-D2)/D2</f>
        <v>2.1156558533145273E-2</v>
      </c>
      <c r="E14" s="5">
        <f t="shared" ref="E14:Y14" si="0">(E6-E2)/E2</f>
        <v>4.0372670807453416E-2</v>
      </c>
      <c r="F14" s="5">
        <f t="shared" si="0"/>
        <v>6.4516129032258188E-2</v>
      </c>
      <c r="G14" s="5">
        <f t="shared" si="0"/>
        <v>3.1463748290013839E-2</v>
      </c>
      <c r="H14" s="5">
        <f t="shared" si="0"/>
        <v>6.0532687651331719E-2</v>
      </c>
      <c r="I14" s="5">
        <f t="shared" si="0"/>
        <v>-4.1891891891891818E-2</v>
      </c>
      <c r="J14" s="5">
        <f>(J6-J2)/J2</f>
        <v>-9.3949044585987351E-2</v>
      </c>
      <c r="K14" s="5">
        <f t="shared" si="0"/>
        <v>6.4905660377358454E-2</v>
      </c>
      <c r="L14" s="5">
        <f t="shared" si="0"/>
        <v>-3.5087719298246113E-3</v>
      </c>
      <c r="M14" s="5">
        <f t="shared" si="0"/>
        <v>4.5392022008253055E-2</v>
      </c>
      <c r="N14" s="5">
        <f t="shared" si="0"/>
        <v>1.0362694300518177E-2</v>
      </c>
      <c r="O14" s="5">
        <f t="shared" si="0"/>
        <v>1.2730744748567792E-2</v>
      </c>
      <c r="P14" s="5">
        <f t="shared" si="0"/>
        <v>6.016042780748701E-3</v>
      </c>
      <c r="Q14" s="5">
        <f t="shared" si="0"/>
        <v>1.7953321364452424E-2</v>
      </c>
      <c r="R14" s="5">
        <f t="shared" si="0"/>
        <v>9.3708165997323008E-3</v>
      </c>
      <c r="S14" s="5">
        <f t="shared" si="0"/>
        <v>6.3920454545452927E-3</v>
      </c>
      <c r="T14" s="5">
        <f t="shared" si="0"/>
        <v>8.7719298245614811E-3</v>
      </c>
      <c r="U14" s="5">
        <f t="shared" si="0"/>
        <v>1.1764705882353016E-2</v>
      </c>
      <c r="V14" s="5">
        <f t="shared" si="0"/>
        <v>4.6941678520625849E-2</v>
      </c>
      <c r="W14" s="5">
        <f t="shared" si="0"/>
        <v>9.6551724137931422E-3</v>
      </c>
      <c r="X14" s="5">
        <f t="shared" si="0"/>
        <v>1.5394912985274317E-2</v>
      </c>
      <c r="Y14" s="5">
        <f t="shared" si="0"/>
        <v>3.1670625494853638E-2</v>
      </c>
    </row>
    <row r="15" spans="1:30" x14ac:dyDescent="0.3">
      <c r="C15" t="s">
        <v>161</v>
      </c>
      <c r="D15" s="5">
        <f>(D13-D7)/D7</f>
        <v>2.2742935906271616E-2</v>
      </c>
      <c r="E15" s="5">
        <f t="shared" ref="E15:Y15" si="1">(E13-E7)/E7</f>
        <v>0.12035928143712571</v>
      </c>
      <c r="F15" s="5">
        <f t="shared" si="1"/>
        <v>2.9709655638082415E-2</v>
      </c>
      <c r="G15" s="5">
        <f t="shared" si="1"/>
        <v>1.3861386138613823E-2</v>
      </c>
      <c r="H15" s="5">
        <f t="shared" si="1"/>
        <v>5.3353658536585372E-2</v>
      </c>
      <c r="I15" s="5">
        <f t="shared" si="1"/>
        <v>5.8947368421052672E-2</v>
      </c>
      <c r="J15" s="5">
        <f t="shared" si="1"/>
        <v>0.18690400508582311</v>
      </c>
      <c r="K15" s="5">
        <f t="shared" si="1"/>
        <v>6.1658398299078793E-2</v>
      </c>
      <c r="L15" s="5">
        <f t="shared" si="1"/>
        <v>2.8268551236749141E-2</v>
      </c>
      <c r="M15" s="5">
        <f t="shared" si="1"/>
        <v>4.6344647519582401E-2</v>
      </c>
      <c r="N15" s="5">
        <f t="shared" si="1"/>
        <v>4.0234089246525238E-2</v>
      </c>
      <c r="O15" s="5">
        <f t="shared" si="1"/>
        <v>2.067669172932338E-2</v>
      </c>
      <c r="P15" s="5">
        <f t="shared" si="1"/>
        <v>6.1114842175956981E-2</v>
      </c>
      <c r="Q15" s="5">
        <f t="shared" si="1"/>
        <v>7.7102803738317863E-2</v>
      </c>
      <c r="R15" s="5">
        <f t="shared" si="1"/>
        <v>1.4550264550264664E-2</v>
      </c>
      <c r="S15" s="5">
        <f t="shared" si="1"/>
        <v>1.6913319238900673E-2</v>
      </c>
      <c r="T15" s="5">
        <f t="shared" si="1"/>
        <v>1.4686248331108067E-2</v>
      </c>
      <c r="U15" s="5">
        <f t="shared" si="1"/>
        <v>1.1650485436893277E-2</v>
      </c>
      <c r="V15" s="5">
        <f t="shared" si="1"/>
        <v>-4.0295500335795834E-2</v>
      </c>
      <c r="W15" s="5">
        <f t="shared" si="1"/>
        <v>1.5710382513661084E-2</v>
      </c>
      <c r="X15" s="5">
        <f t="shared" si="1"/>
        <v>2.166776099803009E-2</v>
      </c>
      <c r="Y15" s="5">
        <f t="shared" si="1"/>
        <v>7.4672825250192365E-2</v>
      </c>
      <c r="Z15">
        <f t="shared" ref="E15:AD15" si="2">Z10-Z7</f>
        <v>4.6000000000000227</v>
      </c>
      <c r="AA15">
        <f t="shared" si="2"/>
        <v>0.30000000000001137</v>
      </c>
      <c r="AB15">
        <f t="shared" si="2"/>
        <v>6.4000000000000057</v>
      </c>
      <c r="AC15">
        <f t="shared" si="2"/>
        <v>3.1999999999999886</v>
      </c>
      <c r="AD15">
        <f t="shared" si="2"/>
        <v>3.2000000000000171</v>
      </c>
    </row>
    <row r="16" spans="1:30" x14ac:dyDescent="0.3">
      <c r="C16" t="s">
        <v>163</v>
      </c>
      <c r="D16" s="5">
        <f>D15-D14</f>
        <v>1.5863773731263422E-3</v>
      </c>
      <c r="E16" s="5">
        <f t="shared" ref="E16:Y16" si="3">E15-E14</f>
        <v>7.99866106296723E-2</v>
      </c>
      <c r="F16" s="5">
        <f t="shared" si="3"/>
        <v>-3.4806473394175773E-2</v>
      </c>
      <c r="G16" s="5">
        <f t="shared" si="3"/>
        <v>-1.7602362151400014E-2</v>
      </c>
      <c r="H16" s="5">
        <f t="shared" si="3"/>
        <v>-7.1790291147463478E-3</v>
      </c>
      <c r="I16" s="5">
        <f t="shared" si="3"/>
        <v>0.10083926031294449</v>
      </c>
      <c r="J16" s="5">
        <f t="shared" si="3"/>
        <v>0.28085304967181046</v>
      </c>
      <c r="K16" s="5">
        <f t="shared" si="3"/>
        <v>-3.2472620782796613E-3</v>
      </c>
      <c r="L16" s="5">
        <f t="shared" si="3"/>
        <v>3.1777323166573751E-2</v>
      </c>
      <c r="M16" s="5">
        <f t="shared" si="3"/>
        <v>9.5262551132934553E-4</v>
      </c>
      <c r="N16" s="5">
        <f t="shared" si="3"/>
        <v>2.987139494600706E-2</v>
      </c>
      <c r="O16" s="5">
        <f t="shared" si="3"/>
        <v>7.9459469807555885E-3</v>
      </c>
      <c r="P16" s="5">
        <f t="shared" si="3"/>
        <v>5.509879939520828E-2</v>
      </c>
      <c r="Q16" s="5">
        <f t="shared" si="3"/>
        <v>5.9149482373865442E-2</v>
      </c>
      <c r="R16" s="5">
        <f t="shared" si="3"/>
        <v>5.1794479505323631E-3</v>
      </c>
      <c r="S16" s="5">
        <f t="shared" si="3"/>
        <v>1.052127378435538E-2</v>
      </c>
      <c r="T16" s="5">
        <f t="shared" si="3"/>
        <v>5.9143185065465859E-3</v>
      </c>
      <c r="U16" s="5">
        <f t="shared" si="3"/>
        <v>-1.1422044545973849E-4</v>
      </c>
      <c r="V16" s="5">
        <f t="shared" si="3"/>
        <v>-8.7237178856421682E-2</v>
      </c>
      <c r="W16" s="5">
        <f t="shared" si="3"/>
        <v>6.0552100998679421E-3</v>
      </c>
      <c r="X16" s="5">
        <f t="shared" si="3"/>
        <v>6.2728480127557731E-3</v>
      </c>
      <c r="Y16" s="5">
        <f t="shared" si="3"/>
        <v>4.3002199755338727E-2</v>
      </c>
    </row>
  </sheetData>
  <conditionalFormatting sqref="D15:Y15">
    <cfRule type="colorScale" priority="3">
      <colorScale>
        <cfvo type="min"/>
        <cfvo type="percentile" val="50"/>
        <cfvo type="max"/>
        <color rgb="FF63BE7B"/>
        <color rgb="FFFFEB84"/>
        <color rgb="FFF8696B"/>
      </colorScale>
    </cfRule>
  </conditionalFormatting>
  <conditionalFormatting sqref="D16:Y16">
    <cfRule type="colorScale" priority="2">
      <colorScale>
        <cfvo type="min"/>
        <cfvo type="max"/>
        <color rgb="FFFCFCFF"/>
        <color rgb="FFF8696B"/>
      </colorScale>
    </cfRule>
  </conditionalFormatting>
  <conditionalFormatting sqref="D14:Y14">
    <cfRule type="colorScale" priority="1">
      <colorScale>
        <cfvo type="min"/>
        <cfvo type="percentile" val="50"/>
        <cfvo type="max"/>
        <color rgb="FF5A8AC6"/>
        <color rgb="FFFCFCFF"/>
        <color rgb="FFF8696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41B7-5D5C-4532-8400-46DA74F661C9}">
  <dimension ref="A1:AE65"/>
  <sheetViews>
    <sheetView topLeftCell="A62" workbookViewId="0">
      <selection activeCell="G65" sqref="G65"/>
    </sheetView>
  </sheetViews>
  <sheetFormatPr defaultRowHeight="14.4" x14ac:dyDescent="0.3"/>
  <cols>
    <col min="22" max="22" width="8.88671875" customWidth="1"/>
    <col min="30" max="30" width="8.88671875" customWidth="1"/>
  </cols>
  <sheetData>
    <row r="1" spans="1:31" x14ac:dyDescent="0.3">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49</v>
      </c>
      <c r="AE1" t="s">
        <v>178</v>
      </c>
    </row>
    <row r="2" spans="1:31" ht="15.6" x14ac:dyDescent="0.3">
      <c r="A2" t="s">
        <v>54</v>
      </c>
      <c r="B2">
        <v>2021</v>
      </c>
      <c r="C2" t="s">
        <v>51</v>
      </c>
      <c r="D2">
        <v>144.9</v>
      </c>
      <c r="E2">
        <v>190.1</v>
      </c>
      <c r="F2">
        <v>175.3</v>
      </c>
      <c r="G2">
        <v>154.1</v>
      </c>
      <c r="H2">
        <v>150.9</v>
      </c>
      <c r="I2">
        <v>149.6</v>
      </c>
      <c r="J2">
        <v>194.2</v>
      </c>
      <c r="K2">
        <v>160.4</v>
      </c>
      <c r="L2">
        <v>114.6</v>
      </c>
      <c r="M2">
        <v>164</v>
      </c>
      <c r="N2">
        <v>151.80000000000001</v>
      </c>
      <c r="O2">
        <v>165.6</v>
      </c>
      <c r="P2">
        <v>161</v>
      </c>
      <c r="Q2">
        <v>186.5</v>
      </c>
      <c r="R2">
        <v>155.5</v>
      </c>
      <c r="S2">
        <v>146.1</v>
      </c>
      <c r="T2">
        <v>154.19999999999999</v>
      </c>
      <c r="U2">
        <v>157.69999999999999</v>
      </c>
      <c r="V2">
        <v>147.9</v>
      </c>
      <c r="W2">
        <v>150</v>
      </c>
      <c r="X2">
        <v>159.30000000000001</v>
      </c>
      <c r="Y2">
        <v>141.9</v>
      </c>
      <c r="Z2">
        <v>149.6</v>
      </c>
      <c r="AA2">
        <v>159.19999999999999</v>
      </c>
      <c r="AB2">
        <v>156.80000000000001</v>
      </c>
      <c r="AC2">
        <v>151.9</v>
      </c>
      <c r="AD2">
        <v>157.30000000000001</v>
      </c>
      <c r="AE2" s="7">
        <v>54.794569624999994</v>
      </c>
    </row>
    <row r="3" spans="1:31" ht="15.6" x14ac:dyDescent="0.3">
      <c r="A3" t="s">
        <v>54</v>
      </c>
      <c r="B3">
        <v>2021</v>
      </c>
      <c r="C3" t="s">
        <v>55</v>
      </c>
      <c r="D3">
        <v>144.30000000000001</v>
      </c>
      <c r="E3">
        <v>186.5</v>
      </c>
      <c r="F3">
        <v>168.7</v>
      </c>
      <c r="G3">
        <v>154.69999999999999</v>
      </c>
      <c r="H3">
        <v>158.69999999999999</v>
      </c>
      <c r="I3">
        <v>150.69999999999999</v>
      </c>
      <c r="J3">
        <v>160</v>
      </c>
      <c r="K3">
        <v>158.80000000000001</v>
      </c>
      <c r="L3">
        <v>112.8</v>
      </c>
      <c r="M3">
        <v>164.2</v>
      </c>
      <c r="N3">
        <v>155.5</v>
      </c>
      <c r="O3">
        <v>167.5</v>
      </c>
      <c r="P3">
        <v>156.9</v>
      </c>
      <c r="Q3">
        <v>188.3</v>
      </c>
      <c r="R3">
        <v>157.19999999999999</v>
      </c>
      <c r="S3">
        <v>147.4</v>
      </c>
      <c r="T3">
        <v>155.80000000000001</v>
      </c>
      <c r="U3">
        <v>159.80000000000001</v>
      </c>
      <c r="V3">
        <v>152.4</v>
      </c>
      <c r="W3">
        <v>150.9</v>
      </c>
      <c r="X3">
        <v>161.30000000000001</v>
      </c>
      <c r="Y3">
        <v>145.1</v>
      </c>
      <c r="Z3">
        <v>151.5</v>
      </c>
      <c r="AA3">
        <v>159.5</v>
      </c>
      <c r="AB3">
        <v>155.80000000000001</v>
      </c>
      <c r="AC3">
        <v>153.4</v>
      </c>
      <c r="AD3">
        <v>156.6</v>
      </c>
      <c r="AE3" s="7">
        <v>61.216117289473672</v>
      </c>
    </row>
    <row r="4" spans="1:31" ht="15.6" x14ac:dyDescent="0.3">
      <c r="A4" t="s">
        <v>54</v>
      </c>
      <c r="B4">
        <v>2021</v>
      </c>
      <c r="C4" t="s">
        <v>56</v>
      </c>
      <c r="D4">
        <v>144.1</v>
      </c>
      <c r="E4">
        <v>192.2</v>
      </c>
      <c r="F4">
        <v>163.80000000000001</v>
      </c>
      <c r="G4">
        <v>154.9</v>
      </c>
      <c r="H4">
        <v>163.9</v>
      </c>
      <c r="I4">
        <v>153.69999999999999</v>
      </c>
      <c r="J4">
        <v>149.5</v>
      </c>
      <c r="K4">
        <v>159.80000000000001</v>
      </c>
      <c r="L4">
        <v>112.6</v>
      </c>
      <c r="M4">
        <v>163.5</v>
      </c>
      <c r="N4">
        <v>156.5</v>
      </c>
      <c r="O4">
        <v>168.2</v>
      </c>
      <c r="P4">
        <v>156.69999999999999</v>
      </c>
      <c r="Q4">
        <v>188.1</v>
      </c>
      <c r="R4">
        <v>157.80000000000001</v>
      </c>
      <c r="S4">
        <v>147.9</v>
      </c>
      <c r="T4">
        <v>156.4</v>
      </c>
      <c r="U4">
        <v>159.9</v>
      </c>
      <c r="V4">
        <v>155.5</v>
      </c>
      <c r="W4">
        <v>151.19999999999999</v>
      </c>
      <c r="X4">
        <v>161.69999999999999</v>
      </c>
      <c r="Y4">
        <v>146.19999999999999</v>
      </c>
      <c r="Z4">
        <v>152.6</v>
      </c>
      <c r="AA4">
        <v>160.19999999999999</v>
      </c>
      <c r="AB4">
        <v>153.80000000000001</v>
      </c>
      <c r="AC4">
        <v>153.80000000000001</v>
      </c>
      <c r="AD4">
        <v>156.80000000000001</v>
      </c>
      <c r="AE4" s="7">
        <v>64.729496782608663</v>
      </c>
    </row>
    <row r="5" spans="1:31" ht="15.6" x14ac:dyDescent="0.3">
      <c r="A5" t="s">
        <v>54</v>
      </c>
      <c r="B5">
        <v>2021</v>
      </c>
      <c r="C5" t="s">
        <v>57</v>
      </c>
      <c r="D5">
        <v>144.30000000000001</v>
      </c>
      <c r="E5">
        <v>198</v>
      </c>
      <c r="F5">
        <v>164.6</v>
      </c>
      <c r="G5">
        <v>155.4</v>
      </c>
      <c r="H5">
        <v>170.1</v>
      </c>
      <c r="I5">
        <v>164.4</v>
      </c>
      <c r="J5">
        <v>144.1</v>
      </c>
      <c r="K5">
        <v>161.69999999999999</v>
      </c>
      <c r="L5">
        <v>113.1</v>
      </c>
      <c r="M5">
        <v>163.9</v>
      </c>
      <c r="N5">
        <v>157.6</v>
      </c>
      <c r="O5">
        <v>168.9</v>
      </c>
      <c r="P5">
        <v>158</v>
      </c>
      <c r="Q5">
        <v>188.8</v>
      </c>
      <c r="R5">
        <v>158.80000000000001</v>
      </c>
      <c r="S5">
        <v>148.5</v>
      </c>
      <c r="T5">
        <v>157.30000000000001</v>
      </c>
      <c r="U5">
        <v>161.4</v>
      </c>
      <c r="V5">
        <v>155.6</v>
      </c>
      <c r="W5">
        <v>151.80000000000001</v>
      </c>
      <c r="X5">
        <v>162.30000000000001</v>
      </c>
      <c r="Y5">
        <v>146.6</v>
      </c>
      <c r="Z5">
        <v>153.19999999999999</v>
      </c>
      <c r="AA5">
        <v>160.30000000000001</v>
      </c>
      <c r="AB5">
        <v>155.4</v>
      </c>
      <c r="AC5">
        <v>154.4</v>
      </c>
      <c r="AD5">
        <v>157.80000000000001</v>
      </c>
      <c r="AE5" s="7">
        <v>63.396976500000008</v>
      </c>
    </row>
    <row r="6" spans="1:31" ht="15.6" x14ac:dyDescent="0.3">
      <c r="A6" t="s">
        <v>54</v>
      </c>
      <c r="B6">
        <v>2021</v>
      </c>
      <c r="C6" t="s">
        <v>58</v>
      </c>
      <c r="D6">
        <v>146.30000000000001</v>
      </c>
      <c r="E6">
        <v>200.5</v>
      </c>
      <c r="F6">
        <v>170.3</v>
      </c>
      <c r="G6">
        <v>156.1</v>
      </c>
      <c r="H6">
        <v>178.7</v>
      </c>
      <c r="I6">
        <v>167.1</v>
      </c>
      <c r="J6">
        <v>147.9</v>
      </c>
      <c r="K6">
        <v>165.4</v>
      </c>
      <c r="L6">
        <v>114.8</v>
      </c>
      <c r="M6">
        <v>168.2</v>
      </c>
      <c r="N6">
        <v>159.30000000000001</v>
      </c>
      <c r="O6">
        <v>170.4</v>
      </c>
      <c r="P6">
        <v>160.69999999999999</v>
      </c>
      <c r="Q6">
        <v>191.9</v>
      </c>
      <c r="R6">
        <v>161.80000000000001</v>
      </c>
      <c r="S6">
        <v>152.1</v>
      </c>
      <c r="T6">
        <v>160.4</v>
      </c>
      <c r="U6">
        <v>161.6</v>
      </c>
      <c r="V6">
        <v>159.4</v>
      </c>
      <c r="W6">
        <v>154.69999999999999</v>
      </c>
      <c r="X6">
        <v>165.8</v>
      </c>
      <c r="Y6">
        <v>148.9</v>
      </c>
      <c r="Z6">
        <v>155.80000000000001</v>
      </c>
      <c r="AA6">
        <v>161.19999999999999</v>
      </c>
      <c r="AB6">
        <v>158.6</v>
      </c>
      <c r="AC6">
        <v>156.80000000000001</v>
      </c>
      <c r="AD6">
        <v>160.4</v>
      </c>
      <c r="AE6" s="7">
        <v>66.953084852941174</v>
      </c>
    </row>
    <row r="7" spans="1:31" ht="15.6" x14ac:dyDescent="0.3">
      <c r="A7" t="s">
        <v>54</v>
      </c>
      <c r="B7">
        <v>2021</v>
      </c>
      <c r="C7" t="s">
        <v>59</v>
      </c>
      <c r="D7">
        <v>146.69999999999999</v>
      </c>
      <c r="E7">
        <v>202</v>
      </c>
      <c r="F7">
        <v>180.7</v>
      </c>
      <c r="G7">
        <v>156.19999999999999</v>
      </c>
      <c r="H7">
        <v>183.7</v>
      </c>
      <c r="I7">
        <v>164.6</v>
      </c>
      <c r="J7">
        <v>155.4</v>
      </c>
      <c r="K7">
        <v>166</v>
      </c>
      <c r="L7">
        <v>115.1</v>
      </c>
      <c r="M7">
        <v>168.5</v>
      </c>
      <c r="N7">
        <v>160</v>
      </c>
      <c r="O7">
        <v>172.4</v>
      </c>
      <c r="P7">
        <v>162.6</v>
      </c>
      <c r="Q7">
        <v>190.8</v>
      </c>
      <c r="R7">
        <v>162.19999999999999</v>
      </c>
      <c r="S7">
        <v>151.80000000000001</v>
      </c>
      <c r="T7">
        <v>160.69999999999999</v>
      </c>
      <c r="U7">
        <v>160.5</v>
      </c>
      <c r="V7">
        <v>159.80000000000001</v>
      </c>
      <c r="W7">
        <v>154.80000000000001</v>
      </c>
      <c r="X7">
        <v>166.3</v>
      </c>
      <c r="Y7">
        <v>150.69999999999999</v>
      </c>
      <c r="Z7">
        <v>154.9</v>
      </c>
      <c r="AA7">
        <v>161.69999999999999</v>
      </c>
      <c r="AB7">
        <v>158.80000000000001</v>
      </c>
      <c r="AC7">
        <v>157.6</v>
      </c>
      <c r="AD7">
        <v>161.30000000000001</v>
      </c>
      <c r="AE7" s="7">
        <v>71.982647477272721</v>
      </c>
    </row>
    <row r="8" spans="1:31" ht="15.6" x14ac:dyDescent="0.3">
      <c r="A8" t="s">
        <v>54</v>
      </c>
      <c r="B8">
        <v>2021</v>
      </c>
      <c r="C8" t="s">
        <v>60</v>
      </c>
      <c r="D8">
        <v>146.4</v>
      </c>
      <c r="E8">
        <v>206.8</v>
      </c>
      <c r="F8">
        <v>182.2</v>
      </c>
      <c r="G8">
        <v>157.5</v>
      </c>
      <c r="H8">
        <v>182.1</v>
      </c>
      <c r="I8">
        <v>163.9</v>
      </c>
      <c r="J8">
        <v>164.2</v>
      </c>
      <c r="K8">
        <v>164</v>
      </c>
      <c r="L8">
        <v>114.5</v>
      </c>
      <c r="M8">
        <v>168.3</v>
      </c>
      <c r="N8">
        <v>160.9</v>
      </c>
      <c r="O8">
        <v>172.2</v>
      </c>
      <c r="P8">
        <v>164</v>
      </c>
      <c r="Q8">
        <v>191.2</v>
      </c>
      <c r="R8">
        <v>162.80000000000001</v>
      </c>
      <c r="S8">
        <v>153.1</v>
      </c>
      <c r="T8">
        <v>161.4</v>
      </c>
      <c r="U8">
        <v>161.5</v>
      </c>
      <c r="V8">
        <v>160.69999999999999</v>
      </c>
      <c r="W8">
        <v>155.80000000000001</v>
      </c>
      <c r="X8">
        <v>167</v>
      </c>
      <c r="Y8">
        <v>153.1</v>
      </c>
      <c r="Z8">
        <v>155.30000000000001</v>
      </c>
      <c r="AA8">
        <v>163.19999999999999</v>
      </c>
      <c r="AB8">
        <v>160.1</v>
      </c>
      <c r="AC8">
        <v>159</v>
      </c>
      <c r="AD8">
        <v>162.5</v>
      </c>
      <c r="AE8" s="7">
        <v>73.539060523809511</v>
      </c>
    </row>
    <row r="9" spans="1:31" ht="15.6" x14ac:dyDescent="0.3">
      <c r="A9" t="s">
        <v>54</v>
      </c>
      <c r="B9">
        <v>2021</v>
      </c>
      <c r="C9" t="s">
        <v>61</v>
      </c>
      <c r="D9">
        <v>146.6</v>
      </c>
      <c r="E9">
        <v>204</v>
      </c>
      <c r="F9">
        <v>172.8</v>
      </c>
      <c r="G9">
        <v>158.4</v>
      </c>
      <c r="H9">
        <v>188</v>
      </c>
      <c r="I9">
        <v>156.80000000000001</v>
      </c>
      <c r="J9">
        <v>162.19999999999999</v>
      </c>
      <c r="K9">
        <v>164.1</v>
      </c>
      <c r="L9">
        <v>119.7</v>
      </c>
      <c r="M9">
        <v>168.8</v>
      </c>
      <c r="N9">
        <v>162.69999999999999</v>
      </c>
      <c r="O9">
        <v>173.9</v>
      </c>
      <c r="P9">
        <v>164</v>
      </c>
      <c r="Q9">
        <v>192.1</v>
      </c>
      <c r="R9">
        <v>164.5</v>
      </c>
      <c r="S9">
        <v>155.30000000000001</v>
      </c>
      <c r="T9">
        <v>163.19999999999999</v>
      </c>
      <c r="U9">
        <v>162.1</v>
      </c>
      <c r="V9">
        <v>162.6</v>
      </c>
      <c r="W9">
        <v>157.5</v>
      </c>
      <c r="X9">
        <v>168.4</v>
      </c>
      <c r="Y9">
        <v>154</v>
      </c>
      <c r="Z9">
        <v>157.6</v>
      </c>
      <c r="AA9">
        <v>163.80000000000001</v>
      </c>
      <c r="AB9">
        <v>160</v>
      </c>
      <c r="AC9">
        <v>160</v>
      </c>
      <c r="AD9">
        <v>163.19999999999999</v>
      </c>
      <c r="AE9" s="7">
        <v>69.804724424999989</v>
      </c>
    </row>
    <row r="10" spans="1:31" ht="15.6" x14ac:dyDescent="0.3">
      <c r="A10" t="s">
        <v>54</v>
      </c>
      <c r="B10">
        <v>2021</v>
      </c>
      <c r="C10" t="s">
        <v>62</v>
      </c>
      <c r="D10">
        <v>146.6</v>
      </c>
      <c r="E10">
        <v>204</v>
      </c>
      <c r="F10">
        <v>172.8</v>
      </c>
      <c r="G10">
        <v>158.4</v>
      </c>
      <c r="H10">
        <v>188</v>
      </c>
      <c r="I10">
        <v>156.69999999999999</v>
      </c>
      <c r="J10">
        <v>162.30000000000001</v>
      </c>
      <c r="K10">
        <v>164.1</v>
      </c>
      <c r="L10">
        <v>119.7</v>
      </c>
      <c r="M10">
        <v>168.8</v>
      </c>
      <c r="N10">
        <v>162.69999999999999</v>
      </c>
      <c r="O10">
        <v>173.9</v>
      </c>
      <c r="P10">
        <v>164</v>
      </c>
      <c r="Q10">
        <v>192.1</v>
      </c>
      <c r="R10">
        <v>164.6</v>
      </c>
      <c r="S10">
        <v>155.30000000000001</v>
      </c>
      <c r="T10">
        <v>163.30000000000001</v>
      </c>
      <c r="U10">
        <v>162.1</v>
      </c>
      <c r="V10">
        <v>162.6</v>
      </c>
      <c r="W10">
        <v>157.5</v>
      </c>
      <c r="X10">
        <v>168.4</v>
      </c>
      <c r="Y10">
        <v>154</v>
      </c>
      <c r="Z10">
        <v>157.69999999999999</v>
      </c>
      <c r="AA10">
        <v>163.69999999999999</v>
      </c>
      <c r="AB10">
        <v>160</v>
      </c>
      <c r="AC10">
        <v>160</v>
      </c>
      <c r="AD10">
        <v>163.19999999999999</v>
      </c>
      <c r="AE10" s="7">
        <v>73.130738295454549</v>
      </c>
    </row>
    <row r="11" spans="1:31" ht="15.6" x14ac:dyDescent="0.3">
      <c r="A11" t="s">
        <v>54</v>
      </c>
      <c r="B11">
        <v>2021</v>
      </c>
      <c r="C11" t="s">
        <v>63</v>
      </c>
      <c r="D11">
        <v>147.4</v>
      </c>
      <c r="E11">
        <v>204.6</v>
      </c>
      <c r="F11">
        <v>171.2</v>
      </c>
      <c r="G11">
        <v>158.69999999999999</v>
      </c>
      <c r="H11">
        <v>190.6</v>
      </c>
      <c r="I11">
        <v>155.69999999999999</v>
      </c>
      <c r="J11">
        <v>185.3</v>
      </c>
      <c r="K11">
        <v>165.2</v>
      </c>
      <c r="L11">
        <v>121.9</v>
      </c>
      <c r="M11">
        <v>169.3</v>
      </c>
      <c r="N11">
        <v>163.19999999999999</v>
      </c>
      <c r="O11">
        <v>174.7</v>
      </c>
      <c r="P11">
        <v>167.7</v>
      </c>
      <c r="Q11">
        <v>192.7</v>
      </c>
      <c r="R11">
        <v>165.7</v>
      </c>
      <c r="S11">
        <v>156.30000000000001</v>
      </c>
      <c r="T11">
        <v>164.3</v>
      </c>
      <c r="U11">
        <v>163.6</v>
      </c>
      <c r="V11">
        <v>164.2</v>
      </c>
      <c r="W11">
        <v>158.4</v>
      </c>
      <c r="X11">
        <v>169.1</v>
      </c>
      <c r="Y11">
        <v>155.69999999999999</v>
      </c>
      <c r="Z11">
        <v>158.6</v>
      </c>
      <c r="AA11">
        <v>163.9</v>
      </c>
      <c r="AB11">
        <v>160.80000000000001</v>
      </c>
      <c r="AC11">
        <v>161</v>
      </c>
      <c r="AD11">
        <v>165.5</v>
      </c>
      <c r="AE11" s="7">
        <v>82.107393785714294</v>
      </c>
    </row>
    <row r="12" spans="1:31" ht="15.6" x14ac:dyDescent="0.3">
      <c r="A12" t="s">
        <v>54</v>
      </c>
      <c r="B12">
        <v>2021</v>
      </c>
      <c r="C12" t="s">
        <v>65</v>
      </c>
      <c r="D12">
        <v>148.19999999999999</v>
      </c>
      <c r="E12">
        <v>201.6</v>
      </c>
      <c r="F12">
        <v>173</v>
      </c>
      <c r="G12">
        <v>159.30000000000001</v>
      </c>
      <c r="H12">
        <v>190.1</v>
      </c>
      <c r="I12">
        <v>156.5</v>
      </c>
      <c r="J12">
        <v>199.2</v>
      </c>
      <c r="K12">
        <v>165.3</v>
      </c>
      <c r="L12">
        <v>122.4</v>
      </c>
      <c r="M12">
        <v>169.6</v>
      </c>
      <c r="N12">
        <v>163.69999999999999</v>
      </c>
      <c r="O12">
        <v>175.5</v>
      </c>
      <c r="P12">
        <v>169.7</v>
      </c>
      <c r="Q12">
        <v>192.9</v>
      </c>
      <c r="R12">
        <v>167.2</v>
      </c>
      <c r="S12">
        <v>157.4</v>
      </c>
      <c r="T12">
        <v>165.8</v>
      </c>
      <c r="U12">
        <v>164.2</v>
      </c>
      <c r="V12">
        <v>163.9</v>
      </c>
      <c r="W12">
        <v>159.30000000000001</v>
      </c>
      <c r="X12">
        <v>169.9</v>
      </c>
      <c r="Y12">
        <v>154.80000000000001</v>
      </c>
      <c r="Z12">
        <v>159.80000000000001</v>
      </c>
      <c r="AA12">
        <v>164.3</v>
      </c>
      <c r="AB12">
        <v>162.19999999999999</v>
      </c>
      <c r="AC12">
        <v>161.4</v>
      </c>
      <c r="AD12">
        <v>166.7</v>
      </c>
      <c r="AE12" s="7">
        <v>80.637301023809528</v>
      </c>
    </row>
    <row r="13" spans="1:31" ht="15.6" x14ac:dyDescent="0.3">
      <c r="A13" t="s">
        <v>54</v>
      </c>
      <c r="B13">
        <v>2021</v>
      </c>
      <c r="C13" t="s">
        <v>66</v>
      </c>
      <c r="D13">
        <v>148.69999999999999</v>
      </c>
      <c r="E13">
        <v>198.8</v>
      </c>
      <c r="F13">
        <v>177.9</v>
      </c>
      <c r="G13">
        <v>159.9</v>
      </c>
      <c r="H13">
        <v>187.6</v>
      </c>
      <c r="I13">
        <v>154.9</v>
      </c>
      <c r="J13">
        <v>188.3</v>
      </c>
      <c r="K13">
        <v>164.4</v>
      </c>
      <c r="L13">
        <v>121</v>
      </c>
      <c r="M13">
        <v>170.5</v>
      </c>
      <c r="N13">
        <v>164.2</v>
      </c>
      <c r="O13">
        <v>176.5</v>
      </c>
      <c r="P13">
        <v>168.2</v>
      </c>
      <c r="Q13">
        <v>192.4</v>
      </c>
      <c r="R13">
        <v>168.5</v>
      </c>
      <c r="S13">
        <v>158.69999999999999</v>
      </c>
      <c r="T13">
        <v>167</v>
      </c>
      <c r="U13">
        <v>163.4</v>
      </c>
      <c r="V13">
        <v>164.1</v>
      </c>
      <c r="W13">
        <v>160.19999999999999</v>
      </c>
      <c r="X13">
        <v>170.6</v>
      </c>
      <c r="Y13">
        <v>155.69999999999999</v>
      </c>
      <c r="Z13">
        <v>160.6</v>
      </c>
      <c r="AA13">
        <v>164.4</v>
      </c>
      <c r="AB13">
        <v>162.6</v>
      </c>
      <c r="AC13">
        <v>162</v>
      </c>
      <c r="AD13">
        <v>166.2</v>
      </c>
      <c r="AE13" s="7">
        <v>73.298823523809531</v>
      </c>
    </row>
    <row r="14" spans="1:31" ht="15.6" x14ac:dyDescent="0.3">
      <c r="A14" t="s">
        <v>54</v>
      </c>
      <c r="B14">
        <v>2022</v>
      </c>
      <c r="C14" t="s">
        <v>51</v>
      </c>
      <c r="D14">
        <v>149.5</v>
      </c>
      <c r="E14">
        <v>198.7</v>
      </c>
      <c r="F14">
        <v>178.8</v>
      </c>
      <c r="G14">
        <v>160.5</v>
      </c>
      <c r="H14">
        <v>184.7</v>
      </c>
      <c r="I14">
        <v>153.69999999999999</v>
      </c>
      <c r="J14">
        <v>174.3</v>
      </c>
      <c r="K14">
        <v>163.9</v>
      </c>
      <c r="L14">
        <v>120</v>
      </c>
      <c r="M14">
        <v>172.1</v>
      </c>
      <c r="N14">
        <v>164.3</v>
      </c>
      <c r="O14">
        <v>177.3</v>
      </c>
      <c r="P14">
        <v>166.4</v>
      </c>
      <c r="Q14">
        <v>192.2</v>
      </c>
      <c r="R14">
        <v>169.9</v>
      </c>
      <c r="S14">
        <v>160.69999999999999</v>
      </c>
      <c r="T14">
        <v>168.5</v>
      </c>
      <c r="U14">
        <v>164.5</v>
      </c>
      <c r="V14">
        <v>164.2</v>
      </c>
      <c r="W14">
        <v>161.1</v>
      </c>
      <c r="X14">
        <v>171.4</v>
      </c>
      <c r="Y14">
        <v>156.5</v>
      </c>
      <c r="Z14">
        <v>161.19999999999999</v>
      </c>
      <c r="AA14">
        <v>164.7</v>
      </c>
      <c r="AB14">
        <v>163</v>
      </c>
      <c r="AC14">
        <v>162.69999999999999</v>
      </c>
      <c r="AD14">
        <v>165.7</v>
      </c>
      <c r="AE14" s="7">
        <v>84.666318799999985</v>
      </c>
    </row>
    <row r="15" spans="1:31" ht="15.6" x14ac:dyDescent="0.3">
      <c r="A15" t="s">
        <v>54</v>
      </c>
      <c r="B15">
        <v>2022</v>
      </c>
      <c r="C15" t="s">
        <v>55</v>
      </c>
      <c r="D15">
        <v>150</v>
      </c>
      <c r="E15">
        <v>200.6</v>
      </c>
      <c r="F15">
        <v>175.8</v>
      </c>
      <c r="G15">
        <v>160.69999999999999</v>
      </c>
      <c r="H15">
        <v>184.9</v>
      </c>
      <c r="I15">
        <v>153.69999999999999</v>
      </c>
      <c r="J15">
        <v>169.7</v>
      </c>
      <c r="K15">
        <v>163.69999999999999</v>
      </c>
      <c r="L15">
        <v>118.9</v>
      </c>
      <c r="M15">
        <v>174.3</v>
      </c>
      <c r="N15">
        <v>164.7</v>
      </c>
      <c r="O15">
        <v>178</v>
      </c>
      <c r="P15">
        <v>166.2</v>
      </c>
      <c r="Q15">
        <v>192.8</v>
      </c>
      <c r="R15">
        <v>170.8</v>
      </c>
      <c r="S15">
        <v>162.4</v>
      </c>
      <c r="T15">
        <v>169.6</v>
      </c>
      <c r="U15">
        <v>165.5</v>
      </c>
      <c r="V15">
        <v>165.7</v>
      </c>
      <c r="W15">
        <v>161.80000000000001</v>
      </c>
      <c r="X15">
        <v>172.2</v>
      </c>
      <c r="Y15">
        <v>156.9</v>
      </c>
      <c r="Z15">
        <v>162.1</v>
      </c>
      <c r="AA15">
        <v>165.4</v>
      </c>
      <c r="AB15">
        <v>164.4</v>
      </c>
      <c r="AC15">
        <v>163.5</v>
      </c>
      <c r="AD15">
        <v>166.1</v>
      </c>
      <c r="AE15" s="7">
        <v>94.067715194444446</v>
      </c>
    </row>
    <row r="16" spans="1:31" ht="15.6" x14ac:dyDescent="0.3">
      <c r="A16" t="s">
        <v>54</v>
      </c>
      <c r="B16">
        <v>2022</v>
      </c>
      <c r="C16" t="s">
        <v>56</v>
      </c>
      <c r="D16">
        <v>151.30000000000001</v>
      </c>
      <c r="E16">
        <v>210.7</v>
      </c>
      <c r="F16">
        <v>167.8</v>
      </c>
      <c r="G16">
        <v>162.19999999999999</v>
      </c>
      <c r="H16">
        <v>194.6</v>
      </c>
      <c r="I16">
        <v>157.6</v>
      </c>
      <c r="J16">
        <v>166.9</v>
      </c>
      <c r="K16">
        <v>163.9</v>
      </c>
      <c r="L16">
        <v>118.8</v>
      </c>
      <c r="M16">
        <v>177.4</v>
      </c>
      <c r="N16">
        <v>165.3</v>
      </c>
      <c r="O16">
        <v>179.3</v>
      </c>
      <c r="P16">
        <v>168.4</v>
      </c>
      <c r="Q16">
        <v>193.7</v>
      </c>
      <c r="R16">
        <v>172.1</v>
      </c>
      <c r="S16">
        <v>164.6</v>
      </c>
      <c r="T16">
        <v>171.1</v>
      </c>
      <c r="U16">
        <v>165.3</v>
      </c>
      <c r="V16">
        <v>167.2</v>
      </c>
      <c r="W16">
        <v>162.80000000000001</v>
      </c>
      <c r="X16">
        <v>173</v>
      </c>
      <c r="Y16">
        <v>157.9</v>
      </c>
      <c r="Z16">
        <v>163.30000000000001</v>
      </c>
      <c r="AA16">
        <v>166</v>
      </c>
      <c r="AB16">
        <v>167.2</v>
      </c>
      <c r="AC16">
        <v>164.6</v>
      </c>
      <c r="AD16">
        <v>167.7</v>
      </c>
      <c r="AE16" s="7">
        <v>112.87479254347826</v>
      </c>
    </row>
    <row r="17" spans="1:31" ht="15.6" x14ac:dyDescent="0.3">
      <c r="A17" t="s">
        <v>54</v>
      </c>
      <c r="B17">
        <v>2022</v>
      </c>
      <c r="C17" t="s">
        <v>57</v>
      </c>
      <c r="D17">
        <v>152.9</v>
      </c>
      <c r="E17">
        <v>211.8</v>
      </c>
      <c r="F17">
        <v>164.5</v>
      </c>
      <c r="G17">
        <v>163.9</v>
      </c>
      <c r="H17">
        <v>199.5</v>
      </c>
      <c r="I17">
        <v>172.6</v>
      </c>
      <c r="J17">
        <v>166.2</v>
      </c>
      <c r="K17">
        <v>164.7</v>
      </c>
      <c r="L17">
        <v>119</v>
      </c>
      <c r="M17">
        <v>181.3</v>
      </c>
      <c r="N17">
        <v>166.2</v>
      </c>
      <c r="O17">
        <v>180.9</v>
      </c>
      <c r="P17">
        <v>170.8</v>
      </c>
      <c r="Q17">
        <v>193.9</v>
      </c>
      <c r="R17">
        <v>173.9</v>
      </c>
      <c r="S17">
        <v>166.5</v>
      </c>
      <c r="T17">
        <v>172.8</v>
      </c>
      <c r="U17">
        <v>167</v>
      </c>
      <c r="V17">
        <v>172.2</v>
      </c>
      <c r="W17">
        <v>164</v>
      </c>
      <c r="X17">
        <v>174</v>
      </c>
      <c r="Y17">
        <v>162.6</v>
      </c>
      <c r="Z17">
        <v>164.4</v>
      </c>
      <c r="AA17">
        <v>166.9</v>
      </c>
      <c r="AB17">
        <v>168.8</v>
      </c>
      <c r="AC17">
        <v>166.8</v>
      </c>
      <c r="AD17">
        <v>170.1</v>
      </c>
      <c r="AE17" s="7">
        <v>102.96599786842103</v>
      </c>
    </row>
    <row r="18" spans="1:31" ht="15.6" x14ac:dyDescent="0.3">
      <c r="A18" t="s">
        <v>54</v>
      </c>
      <c r="B18">
        <v>2022</v>
      </c>
      <c r="C18" t="s">
        <v>58</v>
      </c>
      <c r="D18">
        <v>154.1</v>
      </c>
      <c r="E18">
        <v>217</v>
      </c>
      <c r="F18">
        <v>162.4</v>
      </c>
      <c r="G18">
        <v>164.9</v>
      </c>
      <c r="H18">
        <v>202.4</v>
      </c>
      <c r="I18">
        <v>171</v>
      </c>
      <c r="J18">
        <v>174.9</v>
      </c>
      <c r="K18">
        <v>164.7</v>
      </c>
      <c r="L18">
        <v>119.7</v>
      </c>
      <c r="M18">
        <v>184.9</v>
      </c>
      <c r="N18">
        <v>167.1</v>
      </c>
      <c r="O18">
        <v>182.5</v>
      </c>
      <c r="P18">
        <v>173.3</v>
      </c>
      <c r="Q18">
        <v>194.1</v>
      </c>
      <c r="R18">
        <v>175.6</v>
      </c>
      <c r="S18">
        <v>168.4</v>
      </c>
      <c r="T18">
        <v>174.6</v>
      </c>
      <c r="U18">
        <v>167.5</v>
      </c>
      <c r="V18">
        <v>174.6</v>
      </c>
      <c r="W18">
        <v>165.2</v>
      </c>
      <c r="X18">
        <v>174.8</v>
      </c>
      <c r="Y18">
        <v>163</v>
      </c>
      <c r="Z18">
        <v>165.1</v>
      </c>
      <c r="AA18">
        <v>167.9</v>
      </c>
      <c r="AB18">
        <v>168.4</v>
      </c>
      <c r="AC18">
        <v>167.5</v>
      </c>
      <c r="AD18">
        <v>171.7</v>
      </c>
      <c r="AE18" s="7">
        <v>109.50503773684208</v>
      </c>
    </row>
    <row r="19" spans="1:31" ht="15.6" x14ac:dyDescent="0.3">
      <c r="A19" t="s">
        <v>54</v>
      </c>
      <c r="B19">
        <v>2022</v>
      </c>
      <c r="C19" t="s">
        <v>59</v>
      </c>
      <c r="D19">
        <v>155</v>
      </c>
      <c r="E19">
        <v>219.4</v>
      </c>
      <c r="F19">
        <v>170.8</v>
      </c>
      <c r="G19">
        <v>165.8</v>
      </c>
      <c r="H19">
        <v>200.9</v>
      </c>
      <c r="I19">
        <v>169.7</v>
      </c>
      <c r="J19">
        <v>182.3</v>
      </c>
      <c r="K19">
        <v>164.3</v>
      </c>
      <c r="L19">
        <v>119.9</v>
      </c>
      <c r="M19">
        <v>187.1</v>
      </c>
      <c r="N19">
        <v>167.9</v>
      </c>
      <c r="O19">
        <v>183.9</v>
      </c>
      <c r="P19">
        <v>174.9</v>
      </c>
      <c r="Q19">
        <v>194.3</v>
      </c>
      <c r="R19">
        <v>177.1</v>
      </c>
      <c r="S19">
        <v>169.9</v>
      </c>
      <c r="T19">
        <v>176</v>
      </c>
      <c r="U19">
        <v>166.8</v>
      </c>
      <c r="V19">
        <v>176</v>
      </c>
      <c r="W19">
        <v>166.4</v>
      </c>
      <c r="X19">
        <v>175.4</v>
      </c>
      <c r="Y19">
        <v>161.1</v>
      </c>
      <c r="Z19">
        <v>165.8</v>
      </c>
      <c r="AA19">
        <v>169</v>
      </c>
      <c r="AB19">
        <v>169.4</v>
      </c>
      <c r="AC19">
        <v>167.5</v>
      </c>
      <c r="AD19">
        <v>172.6</v>
      </c>
      <c r="AE19" s="7">
        <v>116.01138504999999</v>
      </c>
    </row>
    <row r="20" spans="1:31" ht="15.6" x14ac:dyDescent="0.3">
      <c r="A20" t="s">
        <v>54</v>
      </c>
      <c r="B20">
        <v>2022</v>
      </c>
      <c r="C20" t="s">
        <v>60</v>
      </c>
      <c r="D20">
        <v>156.5</v>
      </c>
      <c r="E20">
        <v>213</v>
      </c>
      <c r="F20">
        <v>175.2</v>
      </c>
      <c r="G20">
        <v>166.6</v>
      </c>
      <c r="H20">
        <v>195.8</v>
      </c>
      <c r="I20">
        <v>174.2</v>
      </c>
      <c r="J20">
        <v>182.1</v>
      </c>
      <c r="K20">
        <v>164.3</v>
      </c>
      <c r="L20">
        <v>120</v>
      </c>
      <c r="M20">
        <v>190</v>
      </c>
      <c r="N20">
        <v>168.4</v>
      </c>
      <c r="O20">
        <v>185.2</v>
      </c>
      <c r="P20">
        <v>175</v>
      </c>
      <c r="Q20">
        <v>194.6</v>
      </c>
      <c r="R20">
        <v>178.3</v>
      </c>
      <c r="S20">
        <v>171.3</v>
      </c>
      <c r="T20">
        <v>177.3</v>
      </c>
      <c r="U20">
        <v>167.8</v>
      </c>
      <c r="V20">
        <v>179.6</v>
      </c>
      <c r="W20">
        <v>167.4</v>
      </c>
      <c r="X20">
        <v>176.1</v>
      </c>
      <c r="Y20">
        <v>161.6</v>
      </c>
      <c r="Z20">
        <v>166.3</v>
      </c>
      <c r="AA20">
        <v>171.4</v>
      </c>
      <c r="AB20">
        <v>169.7</v>
      </c>
      <c r="AC20">
        <v>168.4</v>
      </c>
      <c r="AD20">
        <v>173.4</v>
      </c>
      <c r="AE20" s="7">
        <v>105.49124737500001</v>
      </c>
    </row>
    <row r="21" spans="1:31" ht="15.6" x14ac:dyDescent="0.3">
      <c r="A21" t="s">
        <v>54</v>
      </c>
      <c r="B21">
        <v>2022</v>
      </c>
      <c r="C21" t="s">
        <v>61</v>
      </c>
      <c r="D21">
        <v>160.30000000000001</v>
      </c>
      <c r="E21">
        <v>206.5</v>
      </c>
      <c r="F21">
        <v>169.2</v>
      </c>
      <c r="G21">
        <v>168.1</v>
      </c>
      <c r="H21">
        <v>192.4</v>
      </c>
      <c r="I21">
        <v>172.9</v>
      </c>
      <c r="J21">
        <v>186.7</v>
      </c>
      <c r="K21">
        <v>167.2</v>
      </c>
      <c r="L21">
        <v>120.9</v>
      </c>
      <c r="M21">
        <v>193.6</v>
      </c>
      <c r="N21">
        <v>168.8</v>
      </c>
      <c r="O21">
        <v>186.3</v>
      </c>
      <c r="P21">
        <v>176.3</v>
      </c>
      <c r="Q21">
        <v>195</v>
      </c>
      <c r="R21">
        <v>179.5</v>
      </c>
      <c r="S21">
        <v>172.7</v>
      </c>
      <c r="T21">
        <v>178.5</v>
      </c>
      <c r="U21">
        <v>169</v>
      </c>
      <c r="V21">
        <v>178.8</v>
      </c>
      <c r="W21">
        <v>168.5</v>
      </c>
      <c r="X21">
        <v>176.8</v>
      </c>
      <c r="Y21">
        <v>161.9</v>
      </c>
      <c r="Z21">
        <v>166.9</v>
      </c>
      <c r="AA21">
        <v>172.3</v>
      </c>
      <c r="AB21">
        <v>171.2</v>
      </c>
      <c r="AC21">
        <v>169.1</v>
      </c>
      <c r="AD21">
        <v>174.3</v>
      </c>
      <c r="AE21" s="7">
        <v>97.404465428571427</v>
      </c>
    </row>
    <row r="22" spans="1:31" ht="15.6" x14ac:dyDescent="0.3">
      <c r="A22" t="s">
        <v>54</v>
      </c>
      <c r="B22">
        <v>2022</v>
      </c>
      <c r="C22" t="s">
        <v>62</v>
      </c>
      <c r="D22">
        <v>163.5</v>
      </c>
      <c r="E22">
        <v>209.2</v>
      </c>
      <c r="F22">
        <v>169.7</v>
      </c>
      <c r="G22">
        <v>169.7</v>
      </c>
      <c r="H22">
        <v>188.7</v>
      </c>
      <c r="I22">
        <v>165.7</v>
      </c>
      <c r="J22">
        <v>191.8</v>
      </c>
      <c r="K22">
        <v>169.1</v>
      </c>
      <c r="L22">
        <v>121.6</v>
      </c>
      <c r="M22">
        <v>197.3</v>
      </c>
      <c r="N22">
        <v>169.4</v>
      </c>
      <c r="O22">
        <v>187.4</v>
      </c>
      <c r="P22">
        <v>177.8</v>
      </c>
      <c r="Q22">
        <v>195.9</v>
      </c>
      <c r="R22">
        <v>180.9</v>
      </c>
      <c r="S22">
        <v>174.3</v>
      </c>
      <c r="T22">
        <v>179.9</v>
      </c>
      <c r="U22">
        <v>169.5</v>
      </c>
      <c r="V22">
        <v>179.5</v>
      </c>
      <c r="W22">
        <v>169.5</v>
      </c>
      <c r="X22">
        <v>177.8</v>
      </c>
      <c r="Y22">
        <v>162.30000000000001</v>
      </c>
      <c r="Z22">
        <v>167.6</v>
      </c>
      <c r="AA22">
        <v>173.1</v>
      </c>
      <c r="AB22">
        <v>170.9</v>
      </c>
      <c r="AC22">
        <v>169.7</v>
      </c>
      <c r="AD22">
        <v>175.3</v>
      </c>
      <c r="AE22" s="7">
        <v>90.706344809523813</v>
      </c>
    </row>
    <row r="23" spans="1:31" ht="15.6" x14ac:dyDescent="0.3">
      <c r="A23" t="s">
        <v>54</v>
      </c>
      <c r="B23">
        <v>2022</v>
      </c>
      <c r="C23" t="s">
        <v>63</v>
      </c>
      <c r="D23">
        <v>165.2</v>
      </c>
      <c r="E23">
        <v>210.9</v>
      </c>
      <c r="F23">
        <v>170.9</v>
      </c>
      <c r="G23">
        <v>170.9</v>
      </c>
      <c r="H23">
        <v>186.5</v>
      </c>
      <c r="I23">
        <v>163.80000000000001</v>
      </c>
      <c r="J23">
        <v>199.7</v>
      </c>
      <c r="K23">
        <v>169.8</v>
      </c>
      <c r="L23">
        <v>121.9</v>
      </c>
      <c r="M23">
        <v>199.9</v>
      </c>
      <c r="N23">
        <v>169.9</v>
      </c>
      <c r="O23">
        <v>188.3</v>
      </c>
      <c r="P23">
        <v>179.6</v>
      </c>
      <c r="Q23">
        <v>196.3</v>
      </c>
      <c r="R23">
        <v>181.9</v>
      </c>
      <c r="S23">
        <v>175.3</v>
      </c>
      <c r="T23">
        <v>181</v>
      </c>
      <c r="U23">
        <v>171.2</v>
      </c>
      <c r="V23">
        <v>180.5</v>
      </c>
      <c r="W23">
        <v>170.4</v>
      </c>
      <c r="X23">
        <v>178.7</v>
      </c>
      <c r="Y23">
        <v>162.9</v>
      </c>
      <c r="Z23">
        <v>168.2</v>
      </c>
      <c r="AA23">
        <v>173.4</v>
      </c>
      <c r="AB23">
        <v>172.1</v>
      </c>
      <c r="AC23">
        <v>170.5</v>
      </c>
      <c r="AD23">
        <v>176.7</v>
      </c>
      <c r="AE23" s="7">
        <v>91.698948700000003</v>
      </c>
    </row>
    <row r="24" spans="1:31" ht="15.6" x14ac:dyDescent="0.3">
      <c r="A24" t="s">
        <v>54</v>
      </c>
      <c r="B24">
        <v>2022</v>
      </c>
      <c r="C24" t="s">
        <v>65</v>
      </c>
      <c r="D24">
        <v>167.4</v>
      </c>
      <c r="E24">
        <v>209.4</v>
      </c>
      <c r="F24">
        <v>181.4</v>
      </c>
      <c r="G24">
        <v>172.3</v>
      </c>
      <c r="H24">
        <v>188.9</v>
      </c>
      <c r="I24">
        <v>160.69999999999999</v>
      </c>
      <c r="J24">
        <v>183.1</v>
      </c>
      <c r="K24">
        <v>170.5</v>
      </c>
      <c r="L24">
        <v>122.1</v>
      </c>
      <c r="M24">
        <v>202.8</v>
      </c>
      <c r="N24">
        <v>170.4</v>
      </c>
      <c r="O24">
        <v>189.5</v>
      </c>
      <c r="P24">
        <v>178.3</v>
      </c>
      <c r="Q24">
        <v>196.9</v>
      </c>
      <c r="R24">
        <v>183.1</v>
      </c>
      <c r="S24">
        <v>176.2</v>
      </c>
      <c r="T24">
        <v>182.1</v>
      </c>
      <c r="U24">
        <v>171.8</v>
      </c>
      <c r="V24">
        <v>181.3</v>
      </c>
      <c r="W24">
        <v>171.4</v>
      </c>
      <c r="X24">
        <v>179.8</v>
      </c>
      <c r="Y24">
        <v>163</v>
      </c>
      <c r="Z24">
        <v>168.5</v>
      </c>
      <c r="AA24">
        <v>173.7</v>
      </c>
      <c r="AB24">
        <v>173.6</v>
      </c>
      <c r="AC24">
        <v>171.1</v>
      </c>
      <c r="AD24">
        <v>176.5</v>
      </c>
      <c r="AE24" s="7">
        <v>87.552266068181822</v>
      </c>
    </row>
    <row r="25" spans="1:31" ht="15.6" x14ac:dyDescent="0.3">
      <c r="A25" t="s">
        <v>54</v>
      </c>
      <c r="B25">
        <v>2022</v>
      </c>
      <c r="C25" t="s">
        <v>66</v>
      </c>
      <c r="D25">
        <v>169.2</v>
      </c>
      <c r="E25">
        <v>209</v>
      </c>
      <c r="F25">
        <v>190.2</v>
      </c>
      <c r="G25">
        <v>173.6</v>
      </c>
      <c r="H25">
        <v>188.5</v>
      </c>
      <c r="I25">
        <v>158</v>
      </c>
      <c r="J25">
        <v>159.9</v>
      </c>
      <c r="K25">
        <v>170.8</v>
      </c>
      <c r="L25">
        <v>121.8</v>
      </c>
      <c r="M25">
        <v>205.2</v>
      </c>
      <c r="N25">
        <v>171</v>
      </c>
      <c r="O25">
        <v>190.3</v>
      </c>
      <c r="P25">
        <v>175.9</v>
      </c>
      <c r="Q25">
        <v>197.3</v>
      </c>
      <c r="R25">
        <v>184</v>
      </c>
      <c r="S25">
        <v>177</v>
      </c>
      <c r="T25">
        <v>183</v>
      </c>
      <c r="U25">
        <v>170.7</v>
      </c>
      <c r="V25">
        <v>182</v>
      </c>
      <c r="W25">
        <v>172.1</v>
      </c>
      <c r="X25">
        <v>181.1</v>
      </c>
      <c r="Y25">
        <v>163.4</v>
      </c>
      <c r="Z25">
        <v>168.9</v>
      </c>
      <c r="AA25">
        <v>174.1</v>
      </c>
      <c r="AB25">
        <v>175.8</v>
      </c>
      <c r="AC25">
        <v>172</v>
      </c>
      <c r="AD25">
        <v>175.7</v>
      </c>
      <c r="AE25" s="7">
        <v>78.100942275000008</v>
      </c>
    </row>
    <row r="26" spans="1:31" ht="15.6" x14ac:dyDescent="0.3">
      <c r="A26" t="s">
        <v>54</v>
      </c>
      <c r="B26">
        <v>2023</v>
      </c>
      <c r="C26" t="s">
        <v>51</v>
      </c>
      <c r="D26">
        <v>173.8</v>
      </c>
      <c r="E26">
        <v>210.7</v>
      </c>
      <c r="F26">
        <v>194.5</v>
      </c>
      <c r="G26">
        <v>174.6</v>
      </c>
      <c r="H26">
        <v>187.2</v>
      </c>
      <c r="I26">
        <v>158.30000000000001</v>
      </c>
      <c r="J26">
        <v>153.9</v>
      </c>
      <c r="K26">
        <v>170.9</v>
      </c>
      <c r="L26">
        <v>121.1</v>
      </c>
      <c r="M26">
        <v>208.4</v>
      </c>
      <c r="N26">
        <v>171.4</v>
      </c>
      <c r="O26">
        <v>191.2</v>
      </c>
      <c r="P26">
        <v>176.7</v>
      </c>
      <c r="Q26">
        <v>198.2</v>
      </c>
      <c r="R26">
        <v>184.9</v>
      </c>
      <c r="S26">
        <v>177.6</v>
      </c>
      <c r="T26">
        <v>183.8</v>
      </c>
      <c r="U26">
        <v>172.1</v>
      </c>
      <c r="V26">
        <v>182</v>
      </c>
      <c r="W26">
        <v>172.9</v>
      </c>
      <c r="X26">
        <v>182.3</v>
      </c>
      <c r="Y26">
        <v>163.6</v>
      </c>
      <c r="Z26">
        <v>169.5</v>
      </c>
      <c r="AA26">
        <v>174.3</v>
      </c>
      <c r="AB26">
        <v>178.6</v>
      </c>
      <c r="AC26">
        <v>172.8</v>
      </c>
      <c r="AD26">
        <v>176.5</v>
      </c>
      <c r="AE26" s="7">
        <v>80.922269684210534</v>
      </c>
    </row>
    <row r="27" spans="1:31" ht="15.6" x14ac:dyDescent="0.3">
      <c r="A27" t="s">
        <v>54</v>
      </c>
      <c r="B27">
        <v>2023</v>
      </c>
      <c r="C27" t="s">
        <v>55</v>
      </c>
      <c r="D27">
        <v>174.4</v>
      </c>
      <c r="E27">
        <v>207.7</v>
      </c>
      <c r="F27">
        <v>175.2</v>
      </c>
      <c r="G27">
        <v>177.3</v>
      </c>
      <c r="H27">
        <v>179.3</v>
      </c>
      <c r="I27">
        <v>169.5</v>
      </c>
      <c r="J27">
        <v>152.69999999999999</v>
      </c>
      <c r="K27">
        <v>171</v>
      </c>
      <c r="L27">
        <v>120</v>
      </c>
      <c r="M27">
        <v>209.7</v>
      </c>
      <c r="N27">
        <v>172.3</v>
      </c>
      <c r="O27">
        <v>193</v>
      </c>
      <c r="P27">
        <v>177</v>
      </c>
      <c r="Q27">
        <v>199.5</v>
      </c>
      <c r="R27">
        <v>186.2</v>
      </c>
      <c r="S27">
        <v>178.7</v>
      </c>
      <c r="T27">
        <v>185.1</v>
      </c>
      <c r="U27">
        <v>173.5</v>
      </c>
      <c r="V27">
        <v>182.1</v>
      </c>
      <c r="W27">
        <v>174.2</v>
      </c>
      <c r="X27">
        <v>184.4</v>
      </c>
      <c r="Y27">
        <v>164.2</v>
      </c>
      <c r="Z27">
        <v>170.3</v>
      </c>
      <c r="AA27">
        <v>175</v>
      </c>
      <c r="AB27">
        <v>181</v>
      </c>
      <c r="AC27">
        <v>174.1</v>
      </c>
      <c r="AD27">
        <v>177.2</v>
      </c>
      <c r="AE27" s="7">
        <v>82.278706675000009</v>
      </c>
    </row>
    <row r="28" spans="1:31" ht="15.6" x14ac:dyDescent="0.3">
      <c r="A28" t="s">
        <v>54</v>
      </c>
      <c r="B28">
        <v>2023</v>
      </c>
      <c r="C28" t="s">
        <v>56</v>
      </c>
      <c r="D28">
        <v>174.4</v>
      </c>
      <c r="E28">
        <v>207.7</v>
      </c>
      <c r="F28">
        <v>175.2</v>
      </c>
      <c r="G28">
        <v>177.3</v>
      </c>
      <c r="H28">
        <v>179.2</v>
      </c>
      <c r="I28">
        <v>169.5</v>
      </c>
      <c r="J28">
        <v>152.80000000000001</v>
      </c>
      <c r="K28">
        <v>171.1</v>
      </c>
      <c r="L28">
        <v>120</v>
      </c>
      <c r="M28">
        <v>209.7</v>
      </c>
      <c r="N28">
        <v>172.3</v>
      </c>
      <c r="O28">
        <v>193</v>
      </c>
      <c r="P28">
        <v>177</v>
      </c>
      <c r="Q28">
        <v>199.5</v>
      </c>
      <c r="R28">
        <v>186.1</v>
      </c>
      <c r="S28">
        <v>178.7</v>
      </c>
      <c r="T28">
        <v>185.1</v>
      </c>
      <c r="U28">
        <v>173.5</v>
      </c>
      <c r="V28">
        <v>181.9</v>
      </c>
      <c r="W28">
        <v>174.2</v>
      </c>
      <c r="X28">
        <v>184.4</v>
      </c>
      <c r="Y28">
        <v>164.2</v>
      </c>
      <c r="Z28">
        <v>170.3</v>
      </c>
      <c r="AA28">
        <v>175</v>
      </c>
      <c r="AB28">
        <v>181</v>
      </c>
      <c r="AC28">
        <v>174.1</v>
      </c>
      <c r="AD28">
        <v>177.2</v>
      </c>
      <c r="AE28" s="7">
        <v>78.539480282608693</v>
      </c>
    </row>
    <row r="29" spans="1:31" ht="15.6" x14ac:dyDescent="0.3">
      <c r="A29" t="s">
        <v>54</v>
      </c>
      <c r="B29">
        <v>2023</v>
      </c>
      <c r="C29" t="s">
        <v>57</v>
      </c>
      <c r="D29">
        <v>173.8</v>
      </c>
      <c r="E29">
        <v>209.3</v>
      </c>
      <c r="F29">
        <v>169.6</v>
      </c>
      <c r="G29">
        <v>178.4</v>
      </c>
      <c r="H29">
        <v>174.9</v>
      </c>
      <c r="I29">
        <v>176.3</v>
      </c>
      <c r="J29">
        <v>155.4</v>
      </c>
      <c r="K29">
        <v>173.4</v>
      </c>
      <c r="L29">
        <v>121.3</v>
      </c>
      <c r="M29">
        <v>212.9</v>
      </c>
      <c r="N29">
        <v>172.9</v>
      </c>
      <c r="O29">
        <v>193.5</v>
      </c>
      <c r="P29">
        <v>177.9</v>
      </c>
      <c r="Q29">
        <v>200.6</v>
      </c>
      <c r="R29">
        <v>186.9</v>
      </c>
      <c r="S29">
        <v>179.2</v>
      </c>
      <c r="T29">
        <v>185.7</v>
      </c>
      <c r="U29">
        <v>175.2</v>
      </c>
      <c r="V29">
        <v>181.7</v>
      </c>
      <c r="W29">
        <v>174.6</v>
      </c>
      <c r="X29">
        <v>185</v>
      </c>
      <c r="Y29">
        <v>164.5</v>
      </c>
      <c r="Z29">
        <v>170.7</v>
      </c>
      <c r="AA29">
        <v>176.4</v>
      </c>
      <c r="AB29">
        <v>184</v>
      </c>
      <c r="AC29">
        <v>175</v>
      </c>
      <c r="AD29">
        <v>178.1</v>
      </c>
      <c r="AE29" s="7">
        <v>83.755358416666667</v>
      </c>
    </row>
    <row r="30" spans="1:31" ht="15.6" x14ac:dyDescent="0.3">
      <c r="A30" t="s">
        <v>54</v>
      </c>
      <c r="B30">
        <v>2023</v>
      </c>
      <c r="C30" t="s">
        <v>58</v>
      </c>
      <c r="D30">
        <v>173.7</v>
      </c>
      <c r="E30">
        <v>214.3</v>
      </c>
      <c r="F30">
        <v>173.2</v>
      </c>
      <c r="G30">
        <v>179.5</v>
      </c>
      <c r="H30">
        <v>170</v>
      </c>
      <c r="I30">
        <v>172.2</v>
      </c>
      <c r="J30">
        <v>161</v>
      </c>
      <c r="K30">
        <v>175.6</v>
      </c>
      <c r="L30">
        <v>122.7</v>
      </c>
      <c r="M30">
        <v>218</v>
      </c>
      <c r="N30">
        <v>173.4</v>
      </c>
      <c r="O30">
        <v>194.2</v>
      </c>
      <c r="P30">
        <v>179.1</v>
      </c>
      <c r="Q30">
        <v>201</v>
      </c>
      <c r="R30">
        <v>187.3</v>
      </c>
      <c r="S30">
        <v>179.7</v>
      </c>
      <c r="T30">
        <v>186.2</v>
      </c>
      <c r="U30">
        <v>175.6</v>
      </c>
      <c r="V30">
        <v>182.8</v>
      </c>
      <c r="W30">
        <v>175.2</v>
      </c>
      <c r="X30">
        <v>185.7</v>
      </c>
      <c r="Y30">
        <v>164.8</v>
      </c>
      <c r="Z30">
        <v>171.2</v>
      </c>
      <c r="AA30">
        <v>177.1</v>
      </c>
      <c r="AB30">
        <v>185.2</v>
      </c>
      <c r="AC30">
        <v>175.7</v>
      </c>
      <c r="AD30">
        <v>179.1</v>
      </c>
      <c r="AE30" s="7">
        <v>74.981547824999993</v>
      </c>
    </row>
    <row r="34" spans="2:31" x14ac:dyDescent="0.3">
      <c r="B34" t="s">
        <v>166</v>
      </c>
    </row>
    <row r="36" spans="2:31" x14ac:dyDescent="0.3">
      <c r="B36">
        <v>2021</v>
      </c>
      <c r="C36" t="s">
        <v>55</v>
      </c>
      <c r="D36" s="5">
        <f>(D3-D2)/D2</f>
        <v>-4.1407867494823621E-3</v>
      </c>
      <c r="E36" s="5">
        <f t="shared" ref="E36:AE36" si="0">(E3-E2)/E2</f>
        <v>-1.8937401367701182E-2</v>
      </c>
      <c r="F36" s="5">
        <f t="shared" si="0"/>
        <v>-3.764974329720492E-2</v>
      </c>
      <c r="G36" s="5">
        <f t="shared" si="0"/>
        <v>3.893575600259535E-3</v>
      </c>
      <c r="H36" s="5">
        <f t="shared" si="0"/>
        <v>5.1689860834989942E-2</v>
      </c>
      <c r="I36" s="5">
        <f t="shared" si="0"/>
        <v>7.3529411764705508E-3</v>
      </c>
      <c r="J36" s="5">
        <f t="shared" si="0"/>
        <v>-0.17610710607621005</v>
      </c>
      <c r="K36" s="5">
        <f t="shared" si="0"/>
        <v>-9.9750623441396159E-3</v>
      </c>
      <c r="L36" s="5">
        <f t="shared" si="0"/>
        <v>-1.5706806282722488E-2</v>
      </c>
      <c r="M36" s="5">
        <f t="shared" si="0"/>
        <v>1.2195121951218818E-3</v>
      </c>
      <c r="N36" s="5">
        <f t="shared" si="0"/>
        <v>2.4374176548089516E-2</v>
      </c>
      <c r="O36" s="5">
        <f t="shared" si="0"/>
        <v>1.1473429951690857E-2</v>
      </c>
      <c r="P36" s="5">
        <f t="shared" si="0"/>
        <v>-2.5465838509316736E-2</v>
      </c>
      <c r="Q36" s="5">
        <f t="shared" si="0"/>
        <v>9.6514745308311604E-3</v>
      </c>
      <c r="R36" s="5">
        <f t="shared" si="0"/>
        <v>1.09324758842443E-2</v>
      </c>
      <c r="S36" s="5">
        <f t="shared" si="0"/>
        <v>8.8980150581794079E-3</v>
      </c>
      <c r="T36" s="5">
        <f t="shared" si="0"/>
        <v>1.0376134889753716E-2</v>
      </c>
      <c r="U36" s="5">
        <f t="shared" si="0"/>
        <v>1.331642358909336E-2</v>
      </c>
      <c r="V36" s="5">
        <f t="shared" si="0"/>
        <v>3.0425963488843813E-2</v>
      </c>
      <c r="W36" s="5">
        <f t="shared" si="0"/>
        <v>6.0000000000000383E-3</v>
      </c>
      <c r="X36" s="5">
        <f t="shared" si="0"/>
        <v>1.2554927809165096E-2</v>
      </c>
      <c r="Y36" s="5">
        <f t="shared" si="0"/>
        <v>2.2551092318534097E-2</v>
      </c>
      <c r="Z36" s="5">
        <f t="shared" si="0"/>
        <v>1.2700534759358327E-2</v>
      </c>
      <c r="AA36" s="5">
        <f t="shared" si="0"/>
        <v>1.8844221105528353E-3</v>
      </c>
      <c r="AB36" s="5">
        <f t="shared" si="0"/>
        <v>-6.3775510204081625E-3</v>
      </c>
      <c r="AC36" s="5">
        <f t="shared" si="0"/>
        <v>9.8749177090190904E-3</v>
      </c>
      <c r="AD36" s="5">
        <f t="shared" si="0"/>
        <v>-4.4500953591863762E-3</v>
      </c>
      <c r="AE36" s="5">
        <f t="shared" si="0"/>
        <v>0.11719313991187642</v>
      </c>
    </row>
    <row r="37" spans="2:31" x14ac:dyDescent="0.3">
      <c r="B37">
        <v>2021</v>
      </c>
      <c r="C37" t="s">
        <v>56</v>
      </c>
      <c r="D37" s="5">
        <f t="shared" ref="D37:AE37" si="1">(D4-D3)/D3</f>
        <v>-1.386001386001504E-3</v>
      </c>
      <c r="E37" s="5">
        <f t="shared" si="1"/>
        <v>3.0563002680965085E-2</v>
      </c>
      <c r="F37" s="5">
        <f t="shared" si="1"/>
        <v>-2.9045643153526837E-2</v>
      </c>
      <c r="G37" s="5">
        <f t="shared" si="1"/>
        <v>1.2928248222366973E-3</v>
      </c>
      <c r="H37" s="5">
        <f t="shared" si="1"/>
        <v>3.2766225582860853E-2</v>
      </c>
      <c r="I37" s="5">
        <f t="shared" si="1"/>
        <v>1.9907100199071003E-2</v>
      </c>
      <c r="J37" s="5">
        <f t="shared" si="1"/>
        <v>-6.5625000000000003E-2</v>
      </c>
      <c r="K37" s="5">
        <f t="shared" si="1"/>
        <v>6.2972292191435762E-3</v>
      </c>
      <c r="L37" s="5">
        <f t="shared" si="1"/>
        <v>-1.7730496453900962E-3</v>
      </c>
      <c r="M37" s="5">
        <f t="shared" si="1"/>
        <v>-4.2630937880632682E-3</v>
      </c>
      <c r="N37" s="5">
        <f t="shared" si="1"/>
        <v>6.4308681672025723E-3</v>
      </c>
      <c r="O37" s="5">
        <f t="shared" si="1"/>
        <v>4.1791044776118723E-3</v>
      </c>
      <c r="P37" s="5">
        <f t="shared" si="1"/>
        <v>-1.2746972594010009E-3</v>
      </c>
      <c r="Q37" s="5">
        <f t="shared" si="1"/>
        <v>-1.0621348911312642E-3</v>
      </c>
      <c r="R37" s="5">
        <f t="shared" si="1"/>
        <v>3.8167938931299157E-3</v>
      </c>
      <c r="S37" s="5">
        <f t="shared" si="1"/>
        <v>3.3921302578018993E-3</v>
      </c>
      <c r="T37" s="5">
        <f t="shared" si="1"/>
        <v>3.8510911424903356E-3</v>
      </c>
      <c r="U37" s="5">
        <f t="shared" si="1"/>
        <v>6.2578222778469526E-4</v>
      </c>
      <c r="V37" s="5">
        <f t="shared" si="1"/>
        <v>2.0341207349081326E-2</v>
      </c>
      <c r="W37" s="5">
        <f t="shared" si="1"/>
        <v>1.9880715705764278E-3</v>
      </c>
      <c r="X37" s="5">
        <f t="shared" si="1"/>
        <v>2.4798512089273233E-3</v>
      </c>
      <c r="Y37" s="5">
        <f t="shared" si="1"/>
        <v>7.5809786354238068E-3</v>
      </c>
      <c r="Z37" s="5">
        <f t="shared" si="1"/>
        <v>7.2607260726072235E-3</v>
      </c>
      <c r="AA37" s="5">
        <f t="shared" si="1"/>
        <v>4.3887147335422488E-3</v>
      </c>
      <c r="AB37" s="5">
        <f t="shared" si="1"/>
        <v>-1.2836970474967907E-2</v>
      </c>
      <c r="AC37" s="5">
        <f t="shared" si="1"/>
        <v>2.6075619295958647E-3</v>
      </c>
      <c r="AD37" s="5">
        <f t="shared" si="1"/>
        <v>1.2771392081737999E-3</v>
      </c>
      <c r="AE37" s="5">
        <f t="shared" si="1"/>
        <v>5.7393046940909617E-2</v>
      </c>
    </row>
    <row r="38" spans="2:31" x14ac:dyDescent="0.3">
      <c r="B38">
        <v>2021</v>
      </c>
      <c r="C38" t="s">
        <v>57</v>
      </c>
      <c r="D38" s="5">
        <f t="shared" ref="D38:AE38" si="2">(D5-D4)/D4</f>
        <v>1.3879250520473078E-3</v>
      </c>
      <c r="E38" s="5">
        <f t="shared" si="2"/>
        <v>3.0176899063475607E-2</v>
      </c>
      <c r="F38" s="5">
        <f t="shared" si="2"/>
        <v>4.8840048840047799E-3</v>
      </c>
      <c r="G38" s="5">
        <f t="shared" si="2"/>
        <v>3.2278889606197547E-3</v>
      </c>
      <c r="H38" s="5">
        <f t="shared" si="2"/>
        <v>3.7827943868212255E-2</v>
      </c>
      <c r="I38" s="5">
        <f t="shared" si="2"/>
        <v>6.9616135328562256E-2</v>
      </c>
      <c r="J38" s="5">
        <f t="shared" si="2"/>
        <v>-3.6120401337792679E-2</v>
      </c>
      <c r="K38" s="5">
        <f t="shared" si="2"/>
        <v>1.1889862327909744E-2</v>
      </c>
      <c r="L38" s="5">
        <f t="shared" si="2"/>
        <v>4.4404973357015992E-3</v>
      </c>
      <c r="M38" s="5">
        <f t="shared" si="2"/>
        <v>2.4464831804281695E-3</v>
      </c>
      <c r="N38" s="5">
        <f t="shared" si="2"/>
        <v>7.0287539936101876E-3</v>
      </c>
      <c r="O38" s="5">
        <f t="shared" si="2"/>
        <v>4.1617122473247151E-3</v>
      </c>
      <c r="P38" s="5">
        <f t="shared" si="2"/>
        <v>8.2961072112317253E-3</v>
      </c>
      <c r="Q38" s="5">
        <f t="shared" si="2"/>
        <v>3.7214247740564436E-3</v>
      </c>
      <c r="R38" s="5">
        <f t="shared" si="2"/>
        <v>6.3371356147021544E-3</v>
      </c>
      <c r="S38" s="5">
        <f t="shared" si="2"/>
        <v>4.0567951318458036E-3</v>
      </c>
      <c r="T38" s="5">
        <f t="shared" si="2"/>
        <v>5.7544757033248439E-3</v>
      </c>
      <c r="U38" s="5">
        <f t="shared" si="2"/>
        <v>9.3808630393996239E-3</v>
      </c>
      <c r="V38" s="5">
        <f t="shared" si="2"/>
        <v>6.4308681672022071E-4</v>
      </c>
      <c r="W38" s="5">
        <f t="shared" si="2"/>
        <v>3.968253968254119E-3</v>
      </c>
      <c r="X38" s="5">
        <f t="shared" si="2"/>
        <v>3.7105751391467087E-3</v>
      </c>
      <c r="Y38" s="5">
        <f t="shared" si="2"/>
        <v>2.7359781121751416E-3</v>
      </c>
      <c r="Z38" s="5">
        <f t="shared" si="2"/>
        <v>3.9318479685451794E-3</v>
      </c>
      <c r="AA38" s="5">
        <f t="shared" si="2"/>
        <v>6.2421972534346278E-4</v>
      </c>
      <c r="AB38" s="5">
        <f t="shared" si="2"/>
        <v>1.0403120936280846E-2</v>
      </c>
      <c r="AC38" s="5">
        <f t="shared" si="2"/>
        <v>3.9011703511052944E-3</v>
      </c>
      <c r="AD38" s="5">
        <f t="shared" si="2"/>
        <v>6.3775510204081625E-3</v>
      </c>
      <c r="AE38" s="5">
        <f t="shared" si="2"/>
        <v>-2.0585982416700527E-2</v>
      </c>
    </row>
    <row r="39" spans="2:31" x14ac:dyDescent="0.3">
      <c r="B39">
        <v>2021</v>
      </c>
      <c r="C39" t="s">
        <v>58</v>
      </c>
      <c r="D39" s="5">
        <f t="shared" ref="D39:AE39" si="3">(D6-D5)/D5</f>
        <v>1.386001386001386E-2</v>
      </c>
      <c r="E39" s="5">
        <f t="shared" si="3"/>
        <v>1.2626262626262626E-2</v>
      </c>
      <c r="F39" s="5">
        <f t="shared" si="3"/>
        <v>3.4629404617254056E-2</v>
      </c>
      <c r="G39" s="5">
        <f t="shared" si="3"/>
        <v>4.5045045045044316E-3</v>
      </c>
      <c r="H39" s="5">
        <f t="shared" si="3"/>
        <v>5.0558495002939415E-2</v>
      </c>
      <c r="I39" s="5">
        <f t="shared" si="3"/>
        <v>1.6423357664233508E-2</v>
      </c>
      <c r="J39" s="5">
        <f t="shared" si="3"/>
        <v>2.637057598889668E-2</v>
      </c>
      <c r="K39" s="5">
        <f t="shared" si="3"/>
        <v>2.2881880024737275E-2</v>
      </c>
      <c r="L39" s="5">
        <f t="shared" si="3"/>
        <v>1.503094606542885E-2</v>
      </c>
      <c r="M39" s="5">
        <f t="shared" si="3"/>
        <v>2.6235509456985863E-2</v>
      </c>
      <c r="N39" s="5">
        <f t="shared" si="3"/>
        <v>1.0786802030456961E-2</v>
      </c>
      <c r="O39" s="5">
        <f t="shared" si="3"/>
        <v>8.8809946714031966E-3</v>
      </c>
      <c r="P39" s="5">
        <f t="shared" si="3"/>
        <v>1.7088607594936637E-2</v>
      </c>
      <c r="Q39" s="5">
        <f t="shared" si="3"/>
        <v>1.6419491525423699E-2</v>
      </c>
      <c r="R39" s="5">
        <f t="shared" si="3"/>
        <v>1.8891687657430729E-2</v>
      </c>
      <c r="S39" s="5">
        <f t="shared" si="3"/>
        <v>2.4242424242424204E-2</v>
      </c>
      <c r="T39" s="5">
        <f t="shared" si="3"/>
        <v>1.9707565162110578E-2</v>
      </c>
      <c r="U39" s="5">
        <f t="shared" si="3"/>
        <v>1.2391573729862988E-3</v>
      </c>
      <c r="V39" s="5">
        <f t="shared" si="3"/>
        <v>2.4421593830334265E-2</v>
      </c>
      <c r="W39" s="5">
        <f t="shared" si="3"/>
        <v>1.9104084321475475E-2</v>
      </c>
      <c r="X39" s="5">
        <f t="shared" si="3"/>
        <v>2.1565003080714726E-2</v>
      </c>
      <c r="Y39" s="5">
        <f t="shared" si="3"/>
        <v>1.568894952251031E-2</v>
      </c>
      <c r="Z39" s="5">
        <f t="shared" si="3"/>
        <v>1.6971279373368297E-2</v>
      </c>
      <c r="AA39" s="5">
        <f t="shared" si="3"/>
        <v>5.6144728633810183E-3</v>
      </c>
      <c r="AB39" s="5">
        <f t="shared" si="3"/>
        <v>2.0592020592020518E-2</v>
      </c>
      <c r="AC39" s="5">
        <f t="shared" si="3"/>
        <v>1.5544041450777238E-2</v>
      </c>
      <c r="AD39" s="5">
        <f t="shared" si="3"/>
        <v>1.6476552598225565E-2</v>
      </c>
      <c r="AE39" s="5">
        <f t="shared" si="3"/>
        <v>5.6092712133380143E-2</v>
      </c>
    </row>
    <row r="40" spans="2:31" x14ac:dyDescent="0.3">
      <c r="B40">
        <v>2021</v>
      </c>
      <c r="C40" t="s">
        <v>59</v>
      </c>
      <c r="D40" s="5">
        <f t="shared" ref="D40:AE40" si="4">(D7-D6)/D6</f>
        <v>2.7341079972657365E-3</v>
      </c>
      <c r="E40" s="5">
        <f t="shared" si="4"/>
        <v>7.481296758104738E-3</v>
      </c>
      <c r="F40" s="5">
        <f t="shared" si="4"/>
        <v>6.1068702290076202E-2</v>
      </c>
      <c r="G40" s="5">
        <f t="shared" si="4"/>
        <v>6.4061499039073878E-4</v>
      </c>
      <c r="H40" s="5">
        <f t="shared" si="4"/>
        <v>2.7979854504756579E-2</v>
      </c>
      <c r="I40" s="5">
        <f t="shared" si="4"/>
        <v>-1.4961101137043686E-2</v>
      </c>
      <c r="J40" s="5">
        <f t="shared" si="4"/>
        <v>5.0709939148073022E-2</v>
      </c>
      <c r="K40" s="5">
        <f t="shared" si="4"/>
        <v>3.6275695284159267E-3</v>
      </c>
      <c r="L40" s="5">
        <f t="shared" si="4"/>
        <v>2.6132404181184424E-3</v>
      </c>
      <c r="M40" s="5">
        <f t="shared" si="4"/>
        <v>1.7835909631391878E-3</v>
      </c>
      <c r="N40" s="5">
        <f t="shared" si="4"/>
        <v>4.394224733207712E-3</v>
      </c>
      <c r="O40" s="5">
        <f t="shared" si="4"/>
        <v>1.1737089201877934E-2</v>
      </c>
      <c r="P40" s="5">
        <f t="shared" si="4"/>
        <v>1.1823273179838244E-2</v>
      </c>
      <c r="Q40" s="5">
        <f t="shared" si="4"/>
        <v>-5.7321521625846496E-3</v>
      </c>
      <c r="R40" s="5">
        <f t="shared" si="4"/>
        <v>2.4721878862792165E-3</v>
      </c>
      <c r="S40" s="5">
        <f t="shared" si="4"/>
        <v>-1.9723865877710909E-3</v>
      </c>
      <c r="T40" s="5">
        <f t="shared" si="4"/>
        <v>1.8703241895260782E-3</v>
      </c>
      <c r="U40" s="5">
        <f t="shared" si="4"/>
        <v>-6.8069306930692722E-3</v>
      </c>
      <c r="V40" s="5">
        <f t="shared" si="4"/>
        <v>2.5094102885822186E-3</v>
      </c>
      <c r="W40" s="5">
        <f t="shared" si="4"/>
        <v>6.4641241111844047E-4</v>
      </c>
      <c r="X40" s="5">
        <f t="shared" si="4"/>
        <v>3.0156815440289505E-3</v>
      </c>
      <c r="Y40" s="5">
        <f t="shared" si="4"/>
        <v>1.2088650100738636E-2</v>
      </c>
      <c r="Z40" s="5">
        <f t="shared" si="4"/>
        <v>-5.7766367137355949E-3</v>
      </c>
      <c r="AA40" s="5">
        <f t="shared" si="4"/>
        <v>3.1017369727047149E-3</v>
      </c>
      <c r="AB40" s="5">
        <f t="shared" si="4"/>
        <v>1.2610340479194014E-3</v>
      </c>
      <c r="AC40" s="5">
        <f t="shared" si="4"/>
        <v>5.1020408163264218E-3</v>
      </c>
      <c r="AD40" s="5">
        <f t="shared" si="4"/>
        <v>5.6109725685785893E-3</v>
      </c>
      <c r="AE40" s="5">
        <f t="shared" si="4"/>
        <v>7.512070034381102E-2</v>
      </c>
    </row>
    <row r="41" spans="2:31" x14ac:dyDescent="0.3">
      <c r="B41">
        <v>2021</v>
      </c>
      <c r="C41" t="s">
        <v>60</v>
      </c>
      <c r="D41" s="5">
        <f t="shared" ref="D41:AE41" si="5">(D8-D7)/D7</f>
        <v>-2.0449897750510087E-3</v>
      </c>
      <c r="E41" s="5">
        <f t="shared" si="5"/>
        <v>2.3762376237623818E-2</v>
      </c>
      <c r="F41" s="5">
        <f t="shared" si="5"/>
        <v>8.3010514665190927E-3</v>
      </c>
      <c r="G41" s="5">
        <f t="shared" si="5"/>
        <v>8.32266325224079E-3</v>
      </c>
      <c r="H41" s="5">
        <f t="shared" si="5"/>
        <v>-8.7098530212302364E-3</v>
      </c>
      <c r="I41" s="5">
        <f t="shared" si="5"/>
        <v>-4.2527339003644513E-3</v>
      </c>
      <c r="J41" s="5">
        <f t="shared" si="5"/>
        <v>5.662805662805652E-2</v>
      </c>
      <c r="K41" s="5">
        <f t="shared" si="5"/>
        <v>-1.2048192771084338E-2</v>
      </c>
      <c r="L41" s="5">
        <f t="shared" si="5"/>
        <v>-5.2128583840138519E-3</v>
      </c>
      <c r="M41" s="5">
        <f t="shared" si="5"/>
        <v>-1.1869436201779741E-3</v>
      </c>
      <c r="N41" s="5">
        <f t="shared" si="5"/>
        <v>5.6250000000000354E-3</v>
      </c>
      <c r="O41" s="5">
        <f t="shared" si="5"/>
        <v>-1.1600928074246928E-3</v>
      </c>
      <c r="P41" s="5">
        <f t="shared" si="5"/>
        <v>8.6100861008610446E-3</v>
      </c>
      <c r="Q41" s="5">
        <f t="shared" si="5"/>
        <v>2.0964360587000905E-3</v>
      </c>
      <c r="R41" s="5">
        <f t="shared" si="5"/>
        <v>3.6991368680642589E-3</v>
      </c>
      <c r="S41" s="5">
        <f t="shared" si="5"/>
        <v>8.5638998682475813E-3</v>
      </c>
      <c r="T41" s="5">
        <f t="shared" si="5"/>
        <v>4.3559427504668144E-3</v>
      </c>
      <c r="U41" s="5">
        <f t="shared" si="5"/>
        <v>6.2305295950155761E-3</v>
      </c>
      <c r="V41" s="5">
        <f t="shared" si="5"/>
        <v>5.6320400500624356E-3</v>
      </c>
      <c r="W41" s="5">
        <f t="shared" si="5"/>
        <v>6.4599483204134363E-3</v>
      </c>
      <c r="X41" s="5">
        <f t="shared" si="5"/>
        <v>4.2092603728201361E-3</v>
      </c>
      <c r="Y41" s="5">
        <f t="shared" si="5"/>
        <v>1.5925680159256841E-2</v>
      </c>
      <c r="Z41" s="5">
        <f t="shared" si="5"/>
        <v>2.5823111684958404E-3</v>
      </c>
      <c r="AA41" s="5">
        <f t="shared" si="5"/>
        <v>9.2764378478664197E-3</v>
      </c>
      <c r="AB41" s="5">
        <f t="shared" si="5"/>
        <v>8.1863979848865419E-3</v>
      </c>
      <c r="AC41" s="5">
        <f t="shared" si="5"/>
        <v>8.883248730964504E-3</v>
      </c>
      <c r="AD41" s="5">
        <f t="shared" si="5"/>
        <v>7.439553626782322E-3</v>
      </c>
      <c r="AE41" s="5">
        <f t="shared" si="5"/>
        <v>2.1622058941749817E-2</v>
      </c>
    </row>
    <row r="42" spans="2:31" x14ac:dyDescent="0.3">
      <c r="B42">
        <v>2021</v>
      </c>
      <c r="C42" t="s">
        <v>61</v>
      </c>
      <c r="D42" s="5">
        <f t="shared" ref="D42:AE42" si="6">(D9-D8)/D8</f>
        <v>1.3661202185791573E-3</v>
      </c>
      <c r="E42" s="5">
        <f t="shared" si="6"/>
        <v>-1.3539651837524232E-2</v>
      </c>
      <c r="F42" s="5">
        <f t="shared" si="6"/>
        <v>-5.1591657519209536E-2</v>
      </c>
      <c r="G42" s="5">
        <f t="shared" si="6"/>
        <v>5.7142857142857507E-3</v>
      </c>
      <c r="H42" s="5">
        <f t="shared" si="6"/>
        <v>3.2399780340472299E-2</v>
      </c>
      <c r="I42" s="5">
        <f t="shared" si="6"/>
        <v>-4.3319097010372141E-2</v>
      </c>
      <c r="J42" s="5">
        <f t="shared" si="6"/>
        <v>-1.2180267965895251E-2</v>
      </c>
      <c r="K42" s="5">
        <f t="shared" si="6"/>
        <v>6.0975609756094091E-4</v>
      </c>
      <c r="L42" s="5">
        <f t="shared" si="6"/>
        <v>4.5414847161572076E-2</v>
      </c>
      <c r="M42" s="5">
        <f t="shared" si="6"/>
        <v>2.9708853238265003E-3</v>
      </c>
      <c r="N42" s="5">
        <f t="shared" si="6"/>
        <v>1.1187072715972548E-2</v>
      </c>
      <c r="O42" s="5">
        <f t="shared" si="6"/>
        <v>9.872241579558752E-3</v>
      </c>
      <c r="P42" s="5">
        <f t="shared" si="6"/>
        <v>0</v>
      </c>
      <c r="Q42" s="5">
        <f t="shared" si="6"/>
        <v>4.7071129707113267E-3</v>
      </c>
      <c r="R42" s="5">
        <f t="shared" si="6"/>
        <v>1.0442260442260373E-2</v>
      </c>
      <c r="S42" s="5">
        <f t="shared" si="6"/>
        <v>1.4369693011103966E-2</v>
      </c>
      <c r="T42" s="5">
        <f t="shared" si="6"/>
        <v>1.1152416356877217E-2</v>
      </c>
      <c r="U42" s="5">
        <f t="shared" si="6"/>
        <v>3.7151702786377356E-3</v>
      </c>
      <c r="V42" s="5">
        <f t="shared" si="6"/>
        <v>1.1823273179838244E-2</v>
      </c>
      <c r="W42" s="5">
        <f t="shared" si="6"/>
        <v>1.0911424903722648E-2</v>
      </c>
      <c r="X42" s="5">
        <f t="shared" si="6"/>
        <v>8.3832335329341659E-3</v>
      </c>
      <c r="Y42" s="5">
        <f t="shared" si="6"/>
        <v>5.8785107772697954E-3</v>
      </c>
      <c r="Z42" s="5">
        <f t="shared" si="6"/>
        <v>1.4810045074050114E-2</v>
      </c>
      <c r="AA42" s="5">
        <f t="shared" si="6"/>
        <v>3.6764705882354337E-3</v>
      </c>
      <c r="AB42" s="5">
        <f t="shared" si="6"/>
        <v>-6.2460961898809693E-4</v>
      </c>
      <c r="AC42" s="5">
        <f t="shared" si="6"/>
        <v>6.2893081761006293E-3</v>
      </c>
      <c r="AD42" s="5">
        <f t="shared" si="6"/>
        <v>4.3076923076922381E-3</v>
      </c>
      <c r="AE42" s="5">
        <f t="shared" si="6"/>
        <v>-5.078030739324535E-2</v>
      </c>
    </row>
    <row r="43" spans="2:31" x14ac:dyDescent="0.3">
      <c r="B43">
        <v>2021</v>
      </c>
      <c r="C43" t="s">
        <v>62</v>
      </c>
      <c r="D43" s="5">
        <f t="shared" ref="D43:AE43" si="7">(D10-D9)/D9</f>
        <v>0</v>
      </c>
      <c r="E43" s="5">
        <f t="shared" si="7"/>
        <v>0</v>
      </c>
      <c r="F43" s="5">
        <f t="shared" si="7"/>
        <v>0</v>
      </c>
      <c r="G43" s="5">
        <f t="shared" si="7"/>
        <v>0</v>
      </c>
      <c r="H43" s="5">
        <f t="shared" si="7"/>
        <v>0</v>
      </c>
      <c r="I43" s="5">
        <f t="shared" si="7"/>
        <v>-6.3775510204096134E-4</v>
      </c>
      <c r="J43" s="5">
        <f t="shared" si="7"/>
        <v>6.1652281134415992E-4</v>
      </c>
      <c r="K43" s="5">
        <f t="shared" si="7"/>
        <v>0</v>
      </c>
      <c r="L43" s="5">
        <f t="shared" si="7"/>
        <v>0</v>
      </c>
      <c r="M43" s="5">
        <f t="shared" si="7"/>
        <v>0</v>
      </c>
      <c r="N43" s="5">
        <f t="shared" si="7"/>
        <v>0</v>
      </c>
      <c r="O43" s="5">
        <f t="shared" si="7"/>
        <v>0</v>
      </c>
      <c r="P43" s="5">
        <f t="shared" si="7"/>
        <v>0</v>
      </c>
      <c r="Q43" s="5">
        <f t="shared" si="7"/>
        <v>0</v>
      </c>
      <c r="R43" s="5">
        <f t="shared" si="7"/>
        <v>6.0790273556227549E-4</v>
      </c>
      <c r="S43" s="5">
        <f t="shared" si="7"/>
        <v>0</v>
      </c>
      <c r="T43" s="5">
        <f t="shared" si="7"/>
        <v>6.12745098039355E-4</v>
      </c>
      <c r="U43" s="5">
        <f t="shared" si="7"/>
        <v>0</v>
      </c>
      <c r="V43" s="5">
        <f t="shared" si="7"/>
        <v>0</v>
      </c>
      <c r="W43" s="5">
        <f t="shared" si="7"/>
        <v>0</v>
      </c>
      <c r="X43" s="5">
        <f t="shared" si="7"/>
        <v>0</v>
      </c>
      <c r="Y43" s="5">
        <f t="shared" si="7"/>
        <v>0</v>
      </c>
      <c r="Z43" s="5">
        <f t="shared" si="7"/>
        <v>6.3451776649742588E-4</v>
      </c>
      <c r="AA43" s="5">
        <f t="shared" si="7"/>
        <v>-6.1050061050074928E-4</v>
      </c>
      <c r="AB43" s="5">
        <f t="shared" si="7"/>
        <v>0</v>
      </c>
      <c r="AC43" s="5">
        <f t="shared" si="7"/>
        <v>0</v>
      </c>
      <c r="AD43" s="5">
        <f t="shared" si="7"/>
        <v>0</v>
      </c>
      <c r="AE43" s="5">
        <f t="shared" si="7"/>
        <v>4.7647403493843964E-2</v>
      </c>
    </row>
    <row r="44" spans="2:31" x14ac:dyDescent="0.3">
      <c r="B44">
        <v>2021</v>
      </c>
      <c r="C44" t="s">
        <v>63</v>
      </c>
      <c r="D44" s="5">
        <f t="shared" ref="D44:AE44" si="8">(D11-D10)/D10</f>
        <v>5.4570259208732022E-3</v>
      </c>
      <c r="E44" s="5">
        <f t="shared" si="8"/>
        <v>2.9411764705882075E-3</v>
      </c>
      <c r="F44" s="5">
        <f t="shared" si="8"/>
        <v>-9.2592592592593906E-3</v>
      </c>
      <c r="G44" s="5">
        <f t="shared" si="8"/>
        <v>1.8939393939392862E-3</v>
      </c>
      <c r="H44" s="5">
        <f t="shared" si="8"/>
        <v>1.3829787234042523E-2</v>
      </c>
      <c r="I44" s="5">
        <f t="shared" si="8"/>
        <v>-6.3816209317166563E-3</v>
      </c>
      <c r="J44" s="5">
        <f t="shared" si="8"/>
        <v>0.14171287738755389</v>
      </c>
      <c r="K44" s="5">
        <f t="shared" si="8"/>
        <v>6.7032297379646215E-3</v>
      </c>
      <c r="L44" s="5">
        <f t="shared" si="8"/>
        <v>1.8379281537176297E-2</v>
      </c>
      <c r="M44" s="5">
        <f t="shared" si="8"/>
        <v>2.9620853080568718E-3</v>
      </c>
      <c r="N44" s="5">
        <f t="shared" si="8"/>
        <v>3.0731407498463433E-3</v>
      </c>
      <c r="O44" s="5">
        <f t="shared" si="8"/>
        <v>4.6003450258768428E-3</v>
      </c>
      <c r="P44" s="5">
        <f t="shared" si="8"/>
        <v>2.2560975609756027E-2</v>
      </c>
      <c r="Q44" s="5">
        <f t="shared" si="8"/>
        <v>3.1233732431025212E-3</v>
      </c>
      <c r="R44" s="5">
        <f t="shared" si="8"/>
        <v>6.6828675577156405E-3</v>
      </c>
      <c r="S44" s="5">
        <f t="shared" si="8"/>
        <v>6.4391500321957498E-3</v>
      </c>
      <c r="T44" s="5">
        <f t="shared" si="8"/>
        <v>6.1236987140232697E-3</v>
      </c>
      <c r="U44" s="5">
        <f t="shared" si="8"/>
        <v>9.2535471930906849E-3</v>
      </c>
      <c r="V44" s="5">
        <f t="shared" si="8"/>
        <v>9.8400984009839754E-3</v>
      </c>
      <c r="W44" s="5">
        <f t="shared" si="8"/>
        <v>5.7142857142857507E-3</v>
      </c>
      <c r="X44" s="5">
        <f t="shared" si="8"/>
        <v>4.1567695961994573E-3</v>
      </c>
      <c r="Y44" s="5">
        <f t="shared" si="8"/>
        <v>1.1038961038960965E-2</v>
      </c>
      <c r="Z44" s="5">
        <f t="shared" si="8"/>
        <v>5.7070386810399859E-3</v>
      </c>
      <c r="AA44" s="5">
        <f t="shared" si="8"/>
        <v>1.2217470983507458E-3</v>
      </c>
      <c r="AB44" s="5">
        <f t="shared" si="8"/>
        <v>5.0000000000000712E-3</v>
      </c>
      <c r="AC44" s="5">
        <f t="shared" si="8"/>
        <v>6.2500000000000003E-3</v>
      </c>
      <c r="AD44" s="5">
        <f t="shared" si="8"/>
        <v>1.4093137254902032E-2</v>
      </c>
      <c r="AE44" s="5">
        <f t="shared" si="8"/>
        <v>0.122748049582014</v>
      </c>
    </row>
    <row r="45" spans="2:31" x14ac:dyDescent="0.3">
      <c r="B45">
        <v>2021</v>
      </c>
      <c r="C45" t="s">
        <v>65</v>
      </c>
      <c r="D45" s="5">
        <f t="shared" ref="D45:AE45" si="9">(D12-D11)/D11</f>
        <v>5.4274084124829236E-3</v>
      </c>
      <c r="E45" s="5">
        <f t="shared" si="9"/>
        <v>-1.466275659824047E-2</v>
      </c>
      <c r="F45" s="5">
        <f t="shared" si="9"/>
        <v>1.0514018691588852E-2</v>
      </c>
      <c r="G45" s="5">
        <f t="shared" si="9"/>
        <v>3.7807183364840756E-3</v>
      </c>
      <c r="H45" s="5">
        <f t="shared" si="9"/>
        <v>-2.6232948583420779E-3</v>
      </c>
      <c r="I45" s="5">
        <f t="shared" si="9"/>
        <v>5.1380860629416276E-3</v>
      </c>
      <c r="J45" s="5">
        <f t="shared" si="9"/>
        <v>7.5013491635186058E-2</v>
      </c>
      <c r="K45" s="5">
        <f t="shared" si="9"/>
        <v>6.0532687651345491E-4</v>
      </c>
      <c r="L45" s="5">
        <f t="shared" si="9"/>
        <v>4.1017227235438884E-3</v>
      </c>
      <c r="M45" s="5">
        <f t="shared" si="9"/>
        <v>1.772002362669716E-3</v>
      </c>
      <c r="N45" s="5">
        <f t="shared" si="9"/>
        <v>3.0637254901960788E-3</v>
      </c>
      <c r="O45" s="5">
        <f t="shared" si="9"/>
        <v>4.5792787635947994E-3</v>
      </c>
      <c r="P45" s="5">
        <f t="shared" si="9"/>
        <v>1.1926058437686345E-2</v>
      </c>
      <c r="Q45" s="5">
        <f t="shared" si="9"/>
        <v>1.0378827192528131E-3</v>
      </c>
      <c r="R45" s="5">
        <f t="shared" si="9"/>
        <v>9.0525045262522634E-3</v>
      </c>
      <c r="S45" s="5">
        <f t="shared" si="9"/>
        <v>7.03774792066535E-3</v>
      </c>
      <c r="T45" s="5">
        <f t="shared" si="9"/>
        <v>9.1296409007912346E-3</v>
      </c>
      <c r="U45" s="5">
        <f t="shared" si="9"/>
        <v>3.6674816625916523E-3</v>
      </c>
      <c r="V45" s="5">
        <f t="shared" si="9"/>
        <v>-1.8270401948841837E-3</v>
      </c>
      <c r="W45" s="5">
        <f t="shared" si="9"/>
        <v>5.6818181818182175E-3</v>
      </c>
      <c r="X45" s="5">
        <f t="shared" si="9"/>
        <v>4.730928444707341E-3</v>
      </c>
      <c r="Y45" s="5">
        <f t="shared" si="9"/>
        <v>-5.7803468208091026E-3</v>
      </c>
      <c r="Z45" s="5">
        <f t="shared" si="9"/>
        <v>7.5662042875158705E-3</v>
      </c>
      <c r="AA45" s="5">
        <f t="shared" si="9"/>
        <v>2.4405125076266362E-3</v>
      </c>
      <c r="AB45" s="5">
        <f t="shared" si="9"/>
        <v>8.7064676616914003E-3</v>
      </c>
      <c r="AC45" s="5">
        <f t="shared" si="9"/>
        <v>2.4844720496894762E-3</v>
      </c>
      <c r="AD45" s="5">
        <f t="shared" si="9"/>
        <v>7.2507552870089949E-3</v>
      </c>
      <c r="AE45" s="5">
        <f t="shared" si="9"/>
        <v>-1.7904511325026917E-2</v>
      </c>
    </row>
    <row r="46" spans="2:31" x14ac:dyDescent="0.3">
      <c r="B46">
        <v>2021</v>
      </c>
      <c r="C46" t="s">
        <v>66</v>
      </c>
      <c r="D46" s="5">
        <f t="shared" ref="D46:AE46" si="10">(D13-D12)/D12</f>
        <v>3.3738191632928477E-3</v>
      </c>
      <c r="E46" s="5">
        <f t="shared" si="10"/>
        <v>-1.3888888888888805E-2</v>
      </c>
      <c r="F46" s="5">
        <f t="shared" si="10"/>
        <v>2.8323699421965352E-2</v>
      </c>
      <c r="G46" s="5">
        <f t="shared" si="10"/>
        <v>3.766478342749493E-3</v>
      </c>
      <c r="H46" s="5">
        <f t="shared" si="10"/>
        <v>-1.3150973172014729E-2</v>
      </c>
      <c r="I46" s="5">
        <f t="shared" si="10"/>
        <v>-1.0223642172523926E-2</v>
      </c>
      <c r="J46" s="5">
        <f t="shared" si="10"/>
        <v>-5.4718875502007921E-2</v>
      </c>
      <c r="K46" s="5">
        <f t="shared" si="10"/>
        <v>-5.4446460980036634E-3</v>
      </c>
      <c r="L46" s="5">
        <f t="shared" si="10"/>
        <v>-1.1437908496732072E-2</v>
      </c>
      <c r="M46" s="5">
        <f t="shared" si="10"/>
        <v>5.3066037735849392E-3</v>
      </c>
      <c r="N46" s="5">
        <f t="shared" si="10"/>
        <v>3.0543677458766036E-3</v>
      </c>
      <c r="O46" s="5">
        <f t="shared" si="10"/>
        <v>5.6980056980056983E-3</v>
      </c>
      <c r="P46" s="5">
        <f t="shared" si="10"/>
        <v>-8.8391278727165592E-3</v>
      </c>
      <c r="Q46" s="5">
        <f t="shared" si="10"/>
        <v>-2.592016588906169E-3</v>
      </c>
      <c r="R46" s="5">
        <f t="shared" si="10"/>
        <v>7.7751196172249487E-3</v>
      </c>
      <c r="S46" s="5">
        <f t="shared" si="10"/>
        <v>8.2592121982209849E-3</v>
      </c>
      <c r="T46" s="5">
        <f t="shared" si="10"/>
        <v>7.2376357056694119E-3</v>
      </c>
      <c r="U46" s="5">
        <f t="shared" si="10"/>
        <v>-4.8721071863579964E-3</v>
      </c>
      <c r="V46" s="5">
        <f t="shared" si="10"/>
        <v>1.2202562538132314E-3</v>
      </c>
      <c r="W46" s="5">
        <f t="shared" si="10"/>
        <v>5.6497175141241507E-3</v>
      </c>
      <c r="X46" s="5">
        <f t="shared" si="10"/>
        <v>4.1200706297821578E-3</v>
      </c>
      <c r="Y46" s="5">
        <f t="shared" si="10"/>
        <v>5.8139534883719455E-3</v>
      </c>
      <c r="Z46" s="5">
        <f t="shared" si="10"/>
        <v>5.0062578222777399E-3</v>
      </c>
      <c r="AA46" s="5">
        <f t="shared" si="10"/>
        <v>6.0864272671938102E-4</v>
      </c>
      <c r="AB46" s="5">
        <f t="shared" si="10"/>
        <v>2.4660912453761141E-3</v>
      </c>
      <c r="AC46" s="5">
        <f t="shared" si="10"/>
        <v>3.7174721189590725E-3</v>
      </c>
      <c r="AD46" s="5">
        <f t="shared" si="10"/>
        <v>-2.999400119976005E-3</v>
      </c>
      <c r="AE46" s="5">
        <f t="shared" si="10"/>
        <v>-9.1005991108670498E-2</v>
      </c>
    </row>
    <row r="47" spans="2:31" x14ac:dyDescent="0.3">
      <c r="B47">
        <v>2022</v>
      </c>
      <c r="C47" t="s">
        <v>51</v>
      </c>
      <c r="D47" s="5">
        <f t="shared" ref="D47:AE47" si="11">(D14-D13)/D13</f>
        <v>5.3799596503026998E-3</v>
      </c>
      <c r="E47" s="5">
        <f t="shared" si="11"/>
        <v>-5.0301810865202579E-4</v>
      </c>
      <c r="F47" s="5">
        <f t="shared" si="11"/>
        <v>5.0590219224283623E-3</v>
      </c>
      <c r="G47" s="5">
        <f t="shared" si="11"/>
        <v>3.7523452157598143E-3</v>
      </c>
      <c r="H47" s="5">
        <f t="shared" si="11"/>
        <v>-1.5458422174840116E-2</v>
      </c>
      <c r="I47" s="5">
        <f t="shared" si="11"/>
        <v>-7.7469335054875209E-3</v>
      </c>
      <c r="J47" s="5">
        <f t="shared" si="11"/>
        <v>-7.4349442379182146E-2</v>
      </c>
      <c r="K47" s="5">
        <f t="shared" si="11"/>
        <v>-3.0413625304136251E-3</v>
      </c>
      <c r="L47" s="5">
        <f t="shared" si="11"/>
        <v>-8.2644628099173556E-3</v>
      </c>
      <c r="M47" s="5">
        <f t="shared" si="11"/>
        <v>9.3841642228738673E-3</v>
      </c>
      <c r="N47" s="5">
        <f t="shared" si="11"/>
        <v>6.0901339829490101E-4</v>
      </c>
      <c r="O47" s="5">
        <f t="shared" si="11"/>
        <v>4.5325779036827843E-3</v>
      </c>
      <c r="P47" s="5">
        <f t="shared" si="11"/>
        <v>-1.070154577883462E-2</v>
      </c>
      <c r="Q47" s="5">
        <f t="shared" si="11"/>
        <v>-1.039501039501128E-3</v>
      </c>
      <c r="R47" s="5">
        <f t="shared" si="11"/>
        <v>8.3086053412463248E-3</v>
      </c>
      <c r="S47" s="5">
        <f t="shared" si="11"/>
        <v>1.2602394454946441E-2</v>
      </c>
      <c r="T47" s="5">
        <f t="shared" si="11"/>
        <v>8.9820359281437123E-3</v>
      </c>
      <c r="U47" s="5">
        <f t="shared" si="11"/>
        <v>6.7319461444308093E-3</v>
      </c>
      <c r="V47" s="5">
        <f t="shared" si="11"/>
        <v>6.0938452163311586E-4</v>
      </c>
      <c r="W47" s="5">
        <f t="shared" si="11"/>
        <v>5.6179775280899239E-3</v>
      </c>
      <c r="X47" s="5">
        <f t="shared" si="11"/>
        <v>4.6893317702228097E-3</v>
      </c>
      <c r="Y47" s="5">
        <f t="shared" si="11"/>
        <v>5.1380860629416276E-3</v>
      </c>
      <c r="Z47" s="5">
        <f t="shared" si="11"/>
        <v>3.735990037359865E-3</v>
      </c>
      <c r="AA47" s="5">
        <f t="shared" si="11"/>
        <v>1.8248175182480715E-3</v>
      </c>
      <c r="AB47" s="5">
        <f t="shared" si="11"/>
        <v>2.4600246002460377E-3</v>
      </c>
      <c r="AC47" s="5">
        <f t="shared" si="11"/>
        <v>4.3209876543209179E-3</v>
      </c>
      <c r="AD47" s="5">
        <f t="shared" si="11"/>
        <v>-3.0084235860409147E-3</v>
      </c>
      <c r="AE47" s="5">
        <f t="shared" si="11"/>
        <v>0.15508428007030658</v>
      </c>
    </row>
    <row r="48" spans="2:31" x14ac:dyDescent="0.3">
      <c r="B48">
        <v>2022</v>
      </c>
      <c r="C48" t="s">
        <v>55</v>
      </c>
      <c r="D48" s="5">
        <f t="shared" ref="D48:AE48" si="12">(D15-D14)/D14</f>
        <v>3.3444816053511705E-3</v>
      </c>
      <c r="E48" s="5">
        <f t="shared" si="12"/>
        <v>9.5621540010065714E-3</v>
      </c>
      <c r="F48" s="5">
        <f t="shared" si="12"/>
        <v>-1.6778523489932886E-2</v>
      </c>
      <c r="G48" s="5">
        <f t="shared" si="12"/>
        <v>1.2461059190030444E-3</v>
      </c>
      <c r="H48" s="5">
        <f t="shared" si="12"/>
        <v>1.0828370330266219E-3</v>
      </c>
      <c r="I48" s="5">
        <f t="shared" si="12"/>
        <v>0</v>
      </c>
      <c r="J48" s="5">
        <f t="shared" si="12"/>
        <v>-2.6391279403327726E-2</v>
      </c>
      <c r="K48" s="5">
        <f t="shared" si="12"/>
        <v>-1.2202562538134048E-3</v>
      </c>
      <c r="L48" s="5">
        <f t="shared" si="12"/>
        <v>-9.1666666666666199E-3</v>
      </c>
      <c r="M48" s="5">
        <f t="shared" si="12"/>
        <v>1.2783265543288885E-2</v>
      </c>
      <c r="N48" s="5">
        <f t="shared" si="12"/>
        <v>2.4345709068775241E-3</v>
      </c>
      <c r="O48" s="5">
        <f t="shared" si="12"/>
        <v>3.948110547095254E-3</v>
      </c>
      <c r="P48" s="5">
        <f t="shared" si="12"/>
        <v>-1.2019230769231793E-3</v>
      </c>
      <c r="Q48" s="5">
        <f t="shared" si="12"/>
        <v>3.1217481789803476E-3</v>
      </c>
      <c r="R48" s="5">
        <f t="shared" si="12"/>
        <v>5.297233666862894E-3</v>
      </c>
      <c r="S48" s="5">
        <f t="shared" si="12"/>
        <v>1.0578718108276397E-2</v>
      </c>
      <c r="T48" s="5">
        <f t="shared" si="12"/>
        <v>6.5281899109791951E-3</v>
      </c>
      <c r="U48" s="5">
        <f t="shared" si="12"/>
        <v>6.0790273556231003E-3</v>
      </c>
      <c r="V48" s="5">
        <f t="shared" si="12"/>
        <v>9.1352009744214372E-3</v>
      </c>
      <c r="W48" s="5">
        <f t="shared" si="12"/>
        <v>4.3451272501552896E-3</v>
      </c>
      <c r="X48" s="5">
        <f t="shared" si="12"/>
        <v>4.6674445740955833E-3</v>
      </c>
      <c r="Y48" s="5">
        <f t="shared" si="12"/>
        <v>2.5559105431310269E-3</v>
      </c>
      <c r="Z48" s="5">
        <f t="shared" si="12"/>
        <v>5.5831265508685217E-3</v>
      </c>
      <c r="AA48" s="5">
        <f t="shared" si="12"/>
        <v>4.2501517911355015E-3</v>
      </c>
      <c r="AB48" s="5">
        <f t="shared" si="12"/>
        <v>8.5889570552147593E-3</v>
      </c>
      <c r="AC48" s="5">
        <f t="shared" si="12"/>
        <v>4.9170251997542186E-3</v>
      </c>
      <c r="AD48" s="5">
        <f t="shared" si="12"/>
        <v>2.4140012070006378E-3</v>
      </c>
      <c r="AE48" s="5">
        <f t="shared" si="12"/>
        <v>0.11104057112312367</v>
      </c>
    </row>
    <row r="49" spans="2:31" x14ac:dyDescent="0.3">
      <c r="B49">
        <v>2022</v>
      </c>
      <c r="C49" t="s">
        <v>56</v>
      </c>
      <c r="D49" s="5">
        <f t="shared" ref="D49:AE49" si="13">(D16-D15)/D15</f>
        <v>8.6666666666667426E-3</v>
      </c>
      <c r="E49" s="5">
        <f t="shared" si="13"/>
        <v>5.0348953140578238E-2</v>
      </c>
      <c r="F49" s="5">
        <f t="shared" si="13"/>
        <v>-4.5506257110352673E-2</v>
      </c>
      <c r="G49" s="5">
        <f t="shared" si="13"/>
        <v>9.3341630367143758E-3</v>
      </c>
      <c r="H49" s="5">
        <f t="shared" si="13"/>
        <v>5.2460789616008592E-2</v>
      </c>
      <c r="I49" s="5">
        <f t="shared" si="13"/>
        <v>2.5374105400130163E-2</v>
      </c>
      <c r="J49" s="5">
        <f t="shared" si="13"/>
        <v>-1.6499705362404145E-2</v>
      </c>
      <c r="K49" s="5">
        <f t="shared" si="13"/>
        <v>1.2217470983507458E-3</v>
      </c>
      <c r="L49" s="5">
        <f t="shared" si="13"/>
        <v>-8.4104289318762419E-4</v>
      </c>
      <c r="M49" s="5">
        <f t="shared" si="13"/>
        <v>1.7785427423981606E-2</v>
      </c>
      <c r="N49" s="5">
        <f t="shared" si="13"/>
        <v>3.6429872495447649E-3</v>
      </c>
      <c r="O49" s="5">
        <f t="shared" si="13"/>
        <v>7.3033707865169176E-3</v>
      </c>
      <c r="P49" s="5">
        <f t="shared" si="13"/>
        <v>1.3237063778580128E-2</v>
      </c>
      <c r="Q49" s="5">
        <f t="shared" si="13"/>
        <v>4.6680497925310023E-3</v>
      </c>
      <c r="R49" s="5">
        <f t="shared" si="13"/>
        <v>7.6112412177984949E-3</v>
      </c>
      <c r="S49" s="5">
        <f t="shared" si="13"/>
        <v>1.354679802955658E-2</v>
      </c>
      <c r="T49" s="5">
        <f t="shared" si="13"/>
        <v>8.8443396226415092E-3</v>
      </c>
      <c r="U49" s="5">
        <f t="shared" si="13"/>
        <v>-1.2084592145014418E-3</v>
      </c>
      <c r="V49" s="5">
        <f t="shared" si="13"/>
        <v>9.0525045262522634E-3</v>
      </c>
      <c r="W49" s="5">
        <f t="shared" si="13"/>
        <v>6.180469715698393E-3</v>
      </c>
      <c r="X49" s="5">
        <f t="shared" si="13"/>
        <v>4.6457607433217848E-3</v>
      </c>
      <c r="Y49" s="5">
        <f t="shared" si="13"/>
        <v>6.3734862970044612E-3</v>
      </c>
      <c r="Z49" s="5">
        <f t="shared" si="13"/>
        <v>7.4028377544726534E-3</v>
      </c>
      <c r="AA49" s="5">
        <f t="shared" si="13"/>
        <v>3.6275695284159267E-3</v>
      </c>
      <c r="AB49" s="5">
        <f t="shared" si="13"/>
        <v>1.7031630170316198E-2</v>
      </c>
      <c r="AC49" s="5">
        <f t="shared" si="13"/>
        <v>6.7278287461773351E-3</v>
      </c>
      <c r="AD49" s="5">
        <f t="shared" si="13"/>
        <v>9.6327513546056245E-3</v>
      </c>
      <c r="AE49" s="5">
        <f t="shared" si="13"/>
        <v>0.19993126557988886</v>
      </c>
    </row>
    <row r="50" spans="2:31" x14ac:dyDescent="0.3">
      <c r="B50">
        <v>2022</v>
      </c>
      <c r="C50" t="s">
        <v>57</v>
      </c>
      <c r="D50" s="5">
        <f t="shared" ref="D50:AE50" si="14">(D17-D16)/D16</f>
        <v>1.0575016523463279E-2</v>
      </c>
      <c r="E50" s="5">
        <f t="shared" si="14"/>
        <v>5.2206929283342323E-3</v>
      </c>
      <c r="F50" s="5">
        <f t="shared" si="14"/>
        <v>-1.9666269368295658E-2</v>
      </c>
      <c r="G50" s="5">
        <f t="shared" si="14"/>
        <v>1.0480887792848441E-2</v>
      </c>
      <c r="H50" s="5">
        <f t="shared" si="14"/>
        <v>2.5179856115107944E-2</v>
      </c>
      <c r="I50" s="5">
        <f t="shared" si="14"/>
        <v>9.5177664974619297E-2</v>
      </c>
      <c r="J50" s="5">
        <f t="shared" si="14"/>
        <v>-4.1941282204914143E-3</v>
      </c>
      <c r="K50" s="5">
        <f t="shared" si="14"/>
        <v>4.8810250152530989E-3</v>
      </c>
      <c r="L50" s="5">
        <f t="shared" si="14"/>
        <v>1.6835016835017075E-3</v>
      </c>
      <c r="M50" s="5">
        <f t="shared" si="14"/>
        <v>2.1984216459977484E-2</v>
      </c>
      <c r="N50" s="5">
        <f t="shared" si="14"/>
        <v>5.4446460980034916E-3</v>
      </c>
      <c r="O50" s="5">
        <f t="shared" si="14"/>
        <v>8.9235917456776028E-3</v>
      </c>
      <c r="P50" s="5">
        <f t="shared" si="14"/>
        <v>1.4251781472684119E-2</v>
      </c>
      <c r="Q50" s="5">
        <f t="shared" si="14"/>
        <v>1.0325245224574965E-3</v>
      </c>
      <c r="R50" s="5">
        <f t="shared" si="14"/>
        <v>1.0459035444509072E-2</v>
      </c>
      <c r="S50" s="5">
        <f t="shared" si="14"/>
        <v>1.1543134872418018E-2</v>
      </c>
      <c r="T50" s="5">
        <f t="shared" si="14"/>
        <v>9.9357101110462715E-3</v>
      </c>
      <c r="U50" s="5">
        <f t="shared" si="14"/>
        <v>1.0284331518451231E-2</v>
      </c>
      <c r="V50" s="5">
        <f t="shared" si="14"/>
        <v>2.9904306220095697E-2</v>
      </c>
      <c r="W50" s="5">
        <f t="shared" si="14"/>
        <v>7.371007371007301E-3</v>
      </c>
      <c r="X50" s="5">
        <f t="shared" si="14"/>
        <v>5.7803468208092483E-3</v>
      </c>
      <c r="Y50" s="5">
        <f t="shared" si="14"/>
        <v>2.9765674477517344E-2</v>
      </c>
      <c r="Z50" s="5">
        <f t="shared" si="14"/>
        <v>6.7360685854255618E-3</v>
      </c>
      <c r="AA50" s="5">
        <f t="shared" si="14"/>
        <v>5.4216867469879864E-3</v>
      </c>
      <c r="AB50" s="5">
        <f t="shared" si="14"/>
        <v>9.5693779904307587E-3</v>
      </c>
      <c r="AC50" s="5">
        <f t="shared" si="14"/>
        <v>1.3365735115431453E-2</v>
      </c>
      <c r="AD50" s="5">
        <f t="shared" si="14"/>
        <v>1.4311270125223648E-2</v>
      </c>
      <c r="AE50" s="5">
        <f t="shared" si="14"/>
        <v>-8.7785717712309114E-2</v>
      </c>
    </row>
    <row r="51" spans="2:31" x14ac:dyDescent="0.3">
      <c r="B51">
        <v>2022</v>
      </c>
      <c r="C51" t="s">
        <v>58</v>
      </c>
      <c r="D51" s="5">
        <f t="shared" ref="D51:AE51" si="15">(D18-D17)/D17</f>
        <v>7.848266841072522E-3</v>
      </c>
      <c r="E51" s="5">
        <f t="shared" si="15"/>
        <v>2.4551463644948011E-2</v>
      </c>
      <c r="F51" s="5">
        <f t="shared" si="15"/>
        <v>-1.2765957446808475E-2</v>
      </c>
      <c r="G51" s="5">
        <f t="shared" si="15"/>
        <v>6.1012812690665035E-3</v>
      </c>
      <c r="H51" s="5">
        <f t="shared" si="15"/>
        <v>1.4536340852130354E-2</v>
      </c>
      <c r="I51" s="5">
        <f t="shared" si="15"/>
        <v>-9.2699884125144513E-3</v>
      </c>
      <c r="J51" s="5">
        <f t="shared" si="15"/>
        <v>5.2346570397112019E-2</v>
      </c>
      <c r="K51" s="5">
        <f t="shared" si="15"/>
        <v>0</v>
      </c>
      <c r="L51" s="5">
        <f t="shared" si="15"/>
        <v>5.8823529411764948E-3</v>
      </c>
      <c r="M51" s="5">
        <f t="shared" si="15"/>
        <v>1.9856591285162681E-2</v>
      </c>
      <c r="N51" s="5">
        <f t="shared" si="15"/>
        <v>5.4151624548736807E-3</v>
      </c>
      <c r="O51" s="5">
        <f t="shared" si="15"/>
        <v>8.8446655610834399E-3</v>
      </c>
      <c r="P51" s="5">
        <f t="shared" si="15"/>
        <v>1.4637002341920374E-2</v>
      </c>
      <c r="Q51" s="5">
        <f t="shared" si="15"/>
        <v>1.0314595152139691E-3</v>
      </c>
      <c r="R51" s="5">
        <f t="shared" si="15"/>
        <v>9.7757331799884339E-3</v>
      </c>
      <c r="S51" s="5">
        <f t="shared" si="15"/>
        <v>1.1411411411411446E-2</v>
      </c>
      <c r="T51" s="5">
        <f t="shared" si="15"/>
        <v>1.0416666666666567E-2</v>
      </c>
      <c r="U51" s="5">
        <f t="shared" si="15"/>
        <v>2.9940119760479044E-3</v>
      </c>
      <c r="V51" s="5">
        <f t="shared" si="15"/>
        <v>1.3937282229965191E-2</v>
      </c>
      <c r="W51" s="5">
        <f t="shared" si="15"/>
        <v>7.3170731707316384E-3</v>
      </c>
      <c r="X51" s="5">
        <f t="shared" si="15"/>
        <v>4.5977011494253523E-3</v>
      </c>
      <c r="Y51" s="5">
        <f t="shared" si="15"/>
        <v>2.4600246002460377E-3</v>
      </c>
      <c r="Z51" s="5">
        <f t="shared" si="15"/>
        <v>4.257907542579006E-3</v>
      </c>
      <c r="AA51" s="5">
        <f t="shared" si="15"/>
        <v>5.9916117435590173E-3</v>
      </c>
      <c r="AB51" s="5">
        <f t="shared" si="15"/>
        <v>-2.3696682464455312E-3</v>
      </c>
      <c r="AC51" s="5">
        <f t="shared" si="15"/>
        <v>4.1966426858512504E-3</v>
      </c>
      <c r="AD51" s="5">
        <f t="shared" si="15"/>
        <v>9.4062316284538178E-3</v>
      </c>
      <c r="AE51" s="5">
        <f t="shared" si="15"/>
        <v>6.3506788685496113E-2</v>
      </c>
    </row>
    <row r="52" spans="2:31" x14ac:dyDescent="0.3">
      <c r="B52">
        <v>2022</v>
      </c>
      <c r="C52" t="s">
        <v>59</v>
      </c>
      <c r="D52" s="5">
        <f t="shared" ref="D52:AE52" si="16">(D19-D18)/D18</f>
        <v>5.8403634003893947E-3</v>
      </c>
      <c r="E52" s="5">
        <f t="shared" si="16"/>
        <v>1.1059907834101408E-2</v>
      </c>
      <c r="F52" s="5">
        <f t="shared" si="16"/>
        <v>5.1724137931034517E-2</v>
      </c>
      <c r="G52" s="5">
        <f t="shared" si="16"/>
        <v>5.4578532443905741E-3</v>
      </c>
      <c r="H52" s="5">
        <f t="shared" si="16"/>
        <v>-7.411067193675889E-3</v>
      </c>
      <c r="I52" s="5">
        <f t="shared" si="16"/>
        <v>-7.6023391812866164E-3</v>
      </c>
      <c r="J52" s="5">
        <f t="shared" si="16"/>
        <v>4.230989136649517E-2</v>
      </c>
      <c r="K52" s="5">
        <f t="shared" si="16"/>
        <v>-2.4286581663629466E-3</v>
      </c>
      <c r="L52" s="5">
        <f t="shared" si="16"/>
        <v>1.6708437761069578E-3</v>
      </c>
      <c r="M52" s="5">
        <f t="shared" si="16"/>
        <v>1.1898323418063756E-2</v>
      </c>
      <c r="N52" s="5">
        <f t="shared" si="16"/>
        <v>4.7875523638540481E-3</v>
      </c>
      <c r="O52" s="5">
        <f t="shared" si="16"/>
        <v>7.6712328767123599E-3</v>
      </c>
      <c r="P52" s="5">
        <f t="shared" si="16"/>
        <v>9.2325447201384546E-3</v>
      </c>
      <c r="Q52" s="5">
        <f t="shared" si="16"/>
        <v>1.0303967027306391E-3</v>
      </c>
      <c r="R52" s="5">
        <f t="shared" si="16"/>
        <v>8.5421412300683373E-3</v>
      </c>
      <c r="S52" s="5">
        <f t="shared" si="16"/>
        <v>8.9073634204275536E-3</v>
      </c>
      <c r="T52" s="5">
        <f t="shared" si="16"/>
        <v>8.0183276059565042E-3</v>
      </c>
      <c r="U52" s="5">
        <f t="shared" si="16"/>
        <v>-4.1791044776118723E-3</v>
      </c>
      <c r="V52" s="5">
        <f t="shared" si="16"/>
        <v>8.0183276059565042E-3</v>
      </c>
      <c r="W52" s="5">
        <f t="shared" si="16"/>
        <v>7.2639225181599099E-3</v>
      </c>
      <c r="X52" s="5">
        <f t="shared" si="16"/>
        <v>3.4324942791761686E-3</v>
      </c>
      <c r="Y52" s="5">
        <f t="shared" si="16"/>
        <v>-1.1656441717791446E-2</v>
      </c>
      <c r="Z52" s="5">
        <f t="shared" si="16"/>
        <v>4.2398546335555244E-3</v>
      </c>
      <c r="AA52" s="5">
        <f t="shared" si="16"/>
        <v>6.5515187611673272E-3</v>
      </c>
      <c r="AB52" s="5">
        <f t="shared" si="16"/>
        <v>5.9382422802850355E-3</v>
      </c>
      <c r="AC52" s="5">
        <f t="shared" si="16"/>
        <v>0</v>
      </c>
      <c r="AD52" s="5">
        <f t="shared" si="16"/>
        <v>5.2417006406523343E-3</v>
      </c>
      <c r="AE52" s="5">
        <f t="shared" si="16"/>
        <v>5.9415963389681525E-2</v>
      </c>
    </row>
    <row r="53" spans="2:31" x14ac:dyDescent="0.3">
      <c r="B53">
        <v>2022</v>
      </c>
      <c r="C53" t="s">
        <v>60</v>
      </c>
      <c r="D53" s="5">
        <f t="shared" ref="D53:AE53" si="17">(D20-D19)/D19</f>
        <v>9.6774193548387101E-3</v>
      </c>
      <c r="E53" s="5">
        <f t="shared" si="17"/>
        <v>-2.9170464904284436E-2</v>
      </c>
      <c r="F53" s="5">
        <f t="shared" si="17"/>
        <v>2.5761124121779725E-2</v>
      </c>
      <c r="G53" s="5">
        <f t="shared" si="17"/>
        <v>4.8250904704462173E-3</v>
      </c>
      <c r="H53" s="5">
        <f t="shared" si="17"/>
        <v>-2.5385764061722219E-2</v>
      </c>
      <c r="I53" s="5">
        <f t="shared" si="17"/>
        <v>2.6517383618149679E-2</v>
      </c>
      <c r="J53" s="5">
        <f t="shared" si="17"/>
        <v>-1.0970927043336097E-3</v>
      </c>
      <c r="K53" s="5">
        <f t="shared" si="17"/>
        <v>0</v>
      </c>
      <c r="L53" s="5">
        <f t="shared" si="17"/>
        <v>8.3402835696408937E-4</v>
      </c>
      <c r="M53" s="5">
        <f t="shared" si="17"/>
        <v>1.5499732763228252E-2</v>
      </c>
      <c r="N53" s="5">
        <f t="shared" si="17"/>
        <v>2.9779630732578916E-3</v>
      </c>
      <c r="O53" s="5">
        <f t="shared" si="17"/>
        <v>7.0690592713430287E-3</v>
      </c>
      <c r="P53" s="5">
        <f t="shared" si="17"/>
        <v>5.7175528873638828E-4</v>
      </c>
      <c r="Q53" s="5">
        <f t="shared" si="17"/>
        <v>1.5440041173442251E-3</v>
      </c>
      <c r="R53" s="5">
        <f t="shared" si="17"/>
        <v>6.7758328627894812E-3</v>
      </c>
      <c r="S53" s="5">
        <f t="shared" si="17"/>
        <v>8.2401412595644822E-3</v>
      </c>
      <c r="T53" s="5">
        <f t="shared" si="17"/>
        <v>7.3863636363637013E-3</v>
      </c>
      <c r="U53" s="5">
        <f t="shared" si="17"/>
        <v>5.9952038369304557E-3</v>
      </c>
      <c r="V53" s="5">
        <f t="shared" si="17"/>
        <v>2.0454545454545423E-2</v>
      </c>
      <c r="W53" s="5">
        <f t="shared" si="17"/>
        <v>6.0096153846153841E-3</v>
      </c>
      <c r="X53" s="5">
        <f t="shared" si="17"/>
        <v>3.9908779931584299E-3</v>
      </c>
      <c r="Y53" s="5">
        <f t="shared" si="17"/>
        <v>3.1036623215394167E-3</v>
      </c>
      <c r="Z53" s="5">
        <f t="shared" si="17"/>
        <v>3.0156815440289505E-3</v>
      </c>
      <c r="AA53" s="5">
        <f t="shared" si="17"/>
        <v>1.4201183431952697E-2</v>
      </c>
      <c r="AB53" s="5">
        <f t="shared" si="17"/>
        <v>1.7709563164107611E-3</v>
      </c>
      <c r="AC53" s="5">
        <f t="shared" si="17"/>
        <v>5.3731343283582433E-3</v>
      </c>
      <c r="AD53" s="5">
        <f t="shared" si="17"/>
        <v>4.634994206257308E-3</v>
      </c>
      <c r="AE53" s="5">
        <f t="shared" si="17"/>
        <v>-9.0681941866876919E-2</v>
      </c>
    </row>
    <row r="54" spans="2:31" x14ac:dyDescent="0.3">
      <c r="B54">
        <v>2022</v>
      </c>
      <c r="C54" t="s">
        <v>61</v>
      </c>
      <c r="D54" s="5">
        <f t="shared" ref="D54:AE54" si="18">(D21-D20)/D20</f>
        <v>2.4281150159744483E-2</v>
      </c>
      <c r="E54" s="5">
        <f t="shared" si="18"/>
        <v>-3.0516431924882629E-2</v>
      </c>
      <c r="F54" s="5">
        <f t="shared" si="18"/>
        <v>-3.4246575342465758E-2</v>
      </c>
      <c r="G54" s="5">
        <f t="shared" si="18"/>
        <v>9.00360144057623E-3</v>
      </c>
      <c r="H54" s="5">
        <f t="shared" si="18"/>
        <v>-1.7364657814096043E-2</v>
      </c>
      <c r="I54" s="5">
        <f t="shared" si="18"/>
        <v>-7.4626865671640818E-3</v>
      </c>
      <c r="J54" s="5">
        <f t="shared" si="18"/>
        <v>2.5260845689181737E-2</v>
      </c>
      <c r="K54" s="5">
        <f t="shared" si="18"/>
        <v>1.7650639074862917E-2</v>
      </c>
      <c r="L54" s="5">
        <f t="shared" si="18"/>
        <v>7.5000000000000474E-3</v>
      </c>
      <c r="M54" s="5">
        <f t="shared" si="18"/>
        <v>1.8947368421052602E-2</v>
      </c>
      <c r="N54" s="5">
        <f t="shared" si="18"/>
        <v>2.3752969121140478E-3</v>
      </c>
      <c r="O54" s="5">
        <f t="shared" si="18"/>
        <v>5.9395248380130824E-3</v>
      </c>
      <c r="P54" s="5">
        <f t="shared" si="18"/>
        <v>7.4285714285714935E-3</v>
      </c>
      <c r="Q54" s="5">
        <f t="shared" si="18"/>
        <v>2.0554984583761853E-3</v>
      </c>
      <c r="R54" s="5">
        <f t="shared" si="18"/>
        <v>6.7302299495232108E-3</v>
      </c>
      <c r="S54" s="5">
        <f t="shared" si="18"/>
        <v>8.1727962638644316E-3</v>
      </c>
      <c r="T54" s="5">
        <f t="shared" si="18"/>
        <v>6.7681895093061962E-3</v>
      </c>
      <c r="U54" s="5">
        <f t="shared" si="18"/>
        <v>7.1513706793801465E-3</v>
      </c>
      <c r="V54" s="5">
        <f t="shared" si="18"/>
        <v>-4.4543429844097048E-3</v>
      </c>
      <c r="W54" s="5">
        <f t="shared" si="18"/>
        <v>6.571087216248472E-3</v>
      </c>
      <c r="X54" s="5">
        <f t="shared" si="18"/>
        <v>3.9750141964793699E-3</v>
      </c>
      <c r="Y54" s="5">
        <f t="shared" si="18"/>
        <v>1.8564356435644268E-3</v>
      </c>
      <c r="Z54" s="5">
        <f t="shared" si="18"/>
        <v>3.6079374624172836E-3</v>
      </c>
      <c r="AA54" s="5">
        <f t="shared" si="18"/>
        <v>5.2508751458576761E-3</v>
      </c>
      <c r="AB54" s="5">
        <f t="shared" si="18"/>
        <v>8.8391278727165592E-3</v>
      </c>
      <c r="AC54" s="5">
        <f t="shared" si="18"/>
        <v>4.1567695961994573E-3</v>
      </c>
      <c r="AD54" s="5">
        <f t="shared" si="18"/>
        <v>5.1903114186851538E-3</v>
      </c>
      <c r="AE54" s="5">
        <f t="shared" si="18"/>
        <v>-7.6658321402549315E-2</v>
      </c>
    </row>
    <row r="55" spans="2:31" x14ac:dyDescent="0.3">
      <c r="B55">
        <v>2022</v>
      </c>
      <c r="C55" t="s">
        <v>62</v>
      </c>
      <c r="D55" s="5">
        <f t="shared" ref="D55:AE55" si="19">(D22-D21)/D21</f>
        <v>1.9962570180910719E-2</v>
      </c>
      <c r="E55" s="5">
        <f t="shared" si="19"/>
        <v>1.3075060532687597E-2</v>
      </c>
      <c r="F55" s="5">
        <f t="shared" si="19"/>
        <v>2.9550827423167852E-3</v>
      </c>
      <c r="G55" s="5">
        <f t="shared" si="19"/>
        <v>9.5181439619273899E-3</v>
      </c>
      <c r="H55" s="5">
        <f t="shared" si="19"/>
        <v>-1.9230769230769319E-2</v>
      </c>
      <c r="I55" s="5">
        <f t="shared" si="19"/>
        <v>-4.1642567958357531E-2</v>
      </c>
      <c r="J55" s="5">
        <f t="shared" si="19"/>
        <v>2.7316550615961558E-2</v>
      </c>
      <c r="K55" s="5">
        <f t="shared" si="19"/>
        <v>1.1363636363636399E-2</v>
      </c>
      <c r="L55" s="5">
        <f t="shared" si="19"/>
        <v>5.7899090157153728E-3</v>
      </c>
      <c r="M55" s="5">
        <f t="shared" si="19"/>
        <v>1.9111570247933973E-2</v>
      </c>
      <c r="N55" s="5">
        <f t="shared" si="19"/>
        <v>3.5545023696682125E-3</v>
      </c>
      <c r="O55" s="5">
        <f t="shared" si="19"/>
        <v>5.9044551798174676E-3</v>
      </c>
      <c r="P55" s="5">
        <f t="shared" si="19"/>
        <v>8.5082246171298923E-3</v>
      </c>
      <c r="Q55" s="5">
        <f t="shared" si="19"/>
        <v>4.6153846153846444E-3</v>
      </c>
      <c r="R55" s="5">
        <f t="shared" si="19"/>
        <v>7.7994428969359649E-3</v>
      </c>
      <c r="S55" s="5">
        <f t="shared" si="19"/>
        <v>9.2646207295890154E-3</v>
      </c>
      <c r="T55" s="5">
        <f t="shared" si="19"/>
        <v>7.8431372549019919E-3</v>
      </c>
      <c r="U55" s="5">
        <f t="shared" si="19"/>
        <v>2.9585798816568047E-3</v>
      </c>
      <c r="V55" s="5">
        <f t="shared" si="19"/>
        <v>3.9149888143176093E-3</v>
      </c>
      <c r="W55" s="5">
        <f t="shared" si="19"/>
        <v>5.9347181008902079E-3</v>
      </c>
      <c r="X55" s="5">
        <f t="shared" si="19"/>
        <v>5.6561085972850677E-3</v>
      </c>
      <c r="Y55" s="5">
        <f t="shared" si="19"/>
        <v>2.470660901791264E-3</v>
      </c>
      <c r="Z55" s="5">
        <f t="shared" si="19"/>
        <v>4.1941282204912443E-3</v>
      </c>
      <c r="AA55" s="5">
        <f t="shared" si="19"/>
        <v>4.6430644225187636E-3</v>
      </c>
      <c r="AB55" s="5">
        <f t="shared" si="19"/>
        <v>-1.7523364485980313E-3</v>
      </c>
      <c r="AC55" s="5">
        <f t="shared" si="19"/>
        <v>3.548196333530422E-3</v>
      </c>
      <c r="AD55" s="5">
        <f t="shared" si="19"/>
        <v>5.737234652897303E-3</v>
      </c>
      <c r="AE55" s="5">
        <f t="shared" si="19"/>
        <v>-6.8766052866020555E-2</v>
      </c>
    </row>
    <row r="56" spans="2:31" x14ac:dyDescent="0.3">
      <c r="B56">
        <v>2022</v>
      </c>
      <c r="C56" t="s">
        <v>63</v>
      </c>
      <c r="D56" s="5">
        <f t="shared" ref="D56:AE56" si="20">(D23-D22)/D22</f>
        <v>1.0397553516819502E-2</v>
      </c>
      <c r="E56" s="5">
        <f t="shared" si="20"/>
        <v>8.1261950286807706E-3</v>
      </c>
      <c r="F56" s="5">
        <f t="shared" si="20"/>
        <v>7.0713022981733478E-3</v>
      </c>
      <c r="G56" s="5">
        <f t="shared" si="20"/>
        <v>7.0713022981733478E-3</v>
      </c>
      <c r="H56" s="5">
        <f t="shared" si="20"/>
        <v>-1.1658717541070422E-2</v>
      </c>
      <c r="I56" s="5">
        <f t="shared" si="20"/>
        <v>-1.1466505733252729E-2</v>
      </c>
      <c r="J56" s="5">
        <f t="shared" si="20"/>
        <v>4.118873826903012E-2</v>
      </c>
      <c r="K56" s="5">
        <f t="shared" si="20"/>
        <v>4.1395623891189656E-3</v>
      </c>
      <c r="L56" s="5">
        <f t="shared" si="20"/>
        <v>2.4671052631579883E-3</v>
      </c>
      <c r="M56" s="5">
        <f t="shared" si="20"/>
        <v>1.3177901672579798E-2</v>
      </c>
      <c r="N56" s="5">
        <f t="shared" si="20"/>
        <v>2.9515938606847697E-3</v>
      </c>
      <c r="O56" s="5">
        <f t="shared" si="20"/>
        <v>4.8025613660619302E-3</v>
      </c>
      <c r="P56" s="5">
        <f t="shared" si="20"/>
        <v>1.0123734533183255E-2</v>
      </c>
      <c r="Q56" s="5">
        <f t="shared" si="20"/>
        <v>2.0418580908627142E-3</v>
      </c>
      <c r="R56" s="5">
        <f t="shared" si="20"/>
        <v>5.5279159756771697E-3</v>
      </c>
      <c r="S56" s="5">
        <f t="shared" si="20"/>
        <v>5.737234652897303E-3</v>
      </c>
      <c r="T56" s="5">
        <f t="shared" si="20"/>
        <v>6.1145080600333197E-3</v>
      </c>
      <c r="U56" s="5">
        <f t="shared" si="20"/>
        <v>1.0029498525073679E-2</v>
      </c>
      <c r="V56" s="5">
        <f t="shared" si="20"/>
        <v>5.5710306406685237E-3</v>
      </c>
      <c r="W56" s="5">
        <f t="shared" si="20"/>
        <v>5.30973451327437E-3</v>
      </c>
      <c r="X56" s="5">
        <f t="shared" si="20"/>
        <v>5.0618672665915477E-3</v>
      </c>
      <c r="Y56" s="5">
        <f t="shared" si="20"/>
        <v>3.6968576709796321E-3</v>
      </c>
      <c r="Z56" s="5">
        <f t="shared" si="20"/>
        <v>3.579952267303069E-3</v>
      </c>
      <c r="AA56" s="5">
        <f t="shared" si="20"/>
        <v>1.7331022530329948E-3</v>
      </c>
      <c r="AB56" s="5">
        <f t="shared" si="20"/>
        <v>7.021650087770559E-3</v>
      </c>
      <c r="AC56" s="5">
        <f t="shared" si="20"/>
        <v>4.7142015321155655E-3</v>
      </c>
      <c r="AD56" s="5">
        <f t="shared" si="20"/>
        <v>7.9863091842554308E-3</v>
      </c>
      <c r="AE56" s="5">
        <f t="shared" si="20"/>
        <v>1.0943048058662044E-2</v>
      </c>
    </row>
    <row r="57" spans="2:31" x14ac:dyDescent="0.3">
      <c r="B57">
        <v>2022</v>
      </c>
      <c r="C57" t="s">
        <v>65</v>
      </c>
      <c r="D57" s="5">
        <f t="shared" ref="D57:AE57" si="21">(D24-D23)/D23</f>
        <v>1.3317191283293082E-2</v>
      </c>
      <c r="E57" s="5">
        <f t="shared" si="21"/>
        <v>-7.1123755334281651E-3</v>
      </c>
      <c r="F57" s="5">
        <f t="shared" si="21"/>
        <v>6.1439438267992974E-2</v>
      </c>
      <c r="G57" s="5">
        <f t="shared" si="21"/>
        <v>8.1919251023990971E-3</v>
      </c>
      <c r="H57" s="5">
        <f t="shared" si="21"/>
        <v>1.286863270777483E-2</v>
      </c>
      <c r="I57" s="5">
        <f t="shared" si="21"/>
        <v>-1.8925518925519063E-2</v>
      </c>
      <c r="J57" s="5">
        <f t="shared" si="21"/>
        <v>-8.3124687030545791E-2</v>
      </c>
      <c r="K57" s="5">
        <f t="shared" si="21"/>
        <v>4.1224970553591792E-3</v>
      </c>
      <c r="L57" s="5">
        <f t="shared" si="21"/>
        <v>1.640689089417462E-3</v>
      </c>
      <c r="M57" s="5">
        <f t="shared" si="21"/>
        <v>1.4507253626813434E-2</v>
      </c>
      <c r="N57" s="5">
        <f t="shared" si="21"/>
        <v>2.942907592701589E-3</v>
      </c>
      <c r="O57" s="5">
        <f t="shared" si="21"/>
        <v>6.3728093467869812E-3</v>
      </c>
      <c r="P57" s="5">
        <f t="shared" si="21"/>
        <v>-7.2383073496658295E-3</v>
      </c>
      <c r="Q57" s="5">
        <f t="shared" si="21"/>
        <v>3.0565461029036897E-3</v>
      </c>
      <c r="R57" s="5">
        <f t="shared" si="21"/>
        <v>6.5970313358987825E-3</v>
      </c>
      <c r="S57" s="5">
        <f t="shared" si="21"/>
        <v>5.1340559041641596E-3</v>
      </c>
      <c r="T57" s="5">
        <f t="shared" si="21"/>
        <v>6.0773480662983112E-3</v>
      </c>
      <c r="U57" s="5">
        <f t="shared" si="21"/>
        <v>3.5046728971963948E-3</v>
      </c>
      <c r="V57" s="5">
        <f t="shared" si="21"/>
        <v>4.4321329639889825E-3</v>
      </c>
      <c r="W57" s="5">
        <f t="shared" si="21"/>
        <v>5.8685446009389668E-3</v>
      </c>
      <c r="X57" s="5">
        <f t="shared" si="21"/>
        <v>6.1555679910465745E-3</v>
      </c>
      <c r="Y57" s="5">
        <f t="shared" si="21"/>
        <v>6.1387354205030267E-4</v>
      </c>
      <c r="Z57" s="5">
        <f t="shared" si="21"/>
        <v>1.7835909631391878E-3</v>
      </c>
      <c r="AA57" s="5">
        <f t="shared" si="21"/>
        <v>1.7301038062282753E-3</v>
      </c>
      <c r="AB57" s="5">
        <f t="shared" si="21"/>
        <v>8.7158628704241715E-3</v>
      </c>
      <c r="AC57" s="5">
        <f t="shared" si="21"/>
        <v>3.5190615835776792E-3</v>
      </c>
      <c r="AD57" s="5">
        <f t="shared" si="21"/>
        <v>-1.1318619128465684E-3</v>
      </c>
      <c r="AE57" s="5">
        <f t="shared" si="21"/>
        <v>-4.5220612565410795E-2</v>
      </c>
    </row>
    <row r="58" spans="2:31" x14ac:dyDescent="0.3">
      <c r="B58">
        <v>2022</v>
      </c>
      <c r="C58" t="s">
        <v>66</v>
      </c>
      <c r="D58" s="5">
        <f t="shared" ref="D58:AE58" si="22">(D25-D24)/D24</f>
        <v>1.0752688172042909E-2</v>
      </c>
      <c r="E58" s="5">
        <f t="shared" si="22"/>
        <v>-1.9102196752626823E-3</v>
      </c>
      <c r="F58" s="5">
        <f t="shared" si="22"/>
        <v>4.8511576626240255E-2</v>
      </c>
      <c r="G58" s="5">
        <f t="shared" si="22"/>
        <v>7.5449796865930518E-3</v>
      </c>
      <c r="H58" s="5">
        <f t="shared" si="22"/>
        <v>-2.1175224986765785E-3</v>
      </c>
      <c r="I58" s="5">
        <f t="shared" si="22"/>
        <v>-1.6801493466085806E-2</v>
      </c>
      <c r="J58" s="5">
        <f t="shared" si="22"/>
        <v>-0.12670671764063349</v>
      </c>
      <c r="K58" s="5">
        <f t="shared" si="22"/>
        <v>1.7595307917889231E-3</v>
      </c>
      <c r="L58" s="5">
        <f t="shared" si="22"/>
        <v>-2.457002457002434E-3</v>
      </c>
      <c r="M58" s="5">
        <f t="shared" si="22"/>
        <v>1.1834319526627106E-2</v>
      </c>
      <c r="N58" s="5">
        <f t="shared" si="22"/>
        <v>3.521126760563347E-3</v>
      </c>
      <c r="O58" s="5">
        <f t="shared" si="22"/>
        <v>4.2216358839050729E-3</v>
      </c>
      <c r="P58" s="5">
        <f t="shared" si="22"/>
        <v>-1.3460459899046581E-2</v>
      </c>
      <c r="Q58" s="5">
        <f t="shared" si="22"/>
        <v>2.031488065007647E-3</v>
      </c>
      <c r="R58" s="5">
        <f t="shared" si="22"/>
        <v>4.9153468050246079E-3</v>
      </c>
      <c r="S58" s="5">
        <f t="shared" si="22"/>
        <v>4.5402951191828118E-3</v>
      </c>
      <c r="T58" s="5">
        <f t="shared" si="22"/>
        <v>4.9423393739703777E-3</v>
      </c>
      <c r="U58" s="5">
        <f t="shared" si="22"/>
        <v>-6.4027939464494921E-3</v>
      </c>
      <c r="V58" s="5">
        <f t="shared" si="22"/>
        <v>3.8610038610037982E-3</v>
      </c>
      <c r="W58" s="5">
        <f t="shared" si="22"/>
        <v>4.0840140023336562E-3</v>
      </c>
      <c r="X58" s="5">
        <f t="shared" si="22"/>
        <v>7.2302558398219295E-3</v>
      </c>
      <c r="Y58" s="5">
        <f t="shared" si="22"/>
        <v>2.4539877300613845E-3</v>
      </c>
      <c r="Z58" s="5">
        <f t="shared" si="22"/>
        <v>2.3738872403561168E-3</v>
      </c>
      <c r="AA58" s="5">
        <f t="shared" si="22"/>
        <v>2.3028209556707293E-3</v>
      </c>
      <c r="AB58" s="5">
        <f t="shared" si="22"/>
        <v>1.2672811059907932E-2</v>
      </c>
      <c r="AC58" s="5">
        <f t="shared" si="22"/>
        <v>5.2600818234950653E-3</v>
      </c>
      <c r="AD58" s="5">
        <f t="shared" si="22"/>
        <v>-4.5325779036827843E-3</v>
      </c>
      <c r="AE58" s="5">
        <f t="shared" si="22"/>
        <v>-0.1079506472833215</v>
      </c>
    </row>
    <row r="59" spans="2:31" x14ac:dyDescent="0.3">
      <c r="B59">
        <v>2023</v>
      </c>
      <c r="C59" t="s">
        <v>51</v>
      </c>
      <c r="D59" s="5">
        <f t="shared" ref="D59:AE59" si="23">(D26-D25)/D25</f>
        <v>2.7186761229314557E-2</v>
      </c>
      <c r="E59" s="5">
        <f t="shared" si="23"/>
        <v>8.1339712918659744E-3</v>
      </c>
      <c r="F59" s="5">
        <f t="shared" si="23"/>
        <v>2.2607781282860208E-2</v>
      </c>
      <c r="G59" s="5">
        <f t="shared" si="23"/>
        <v>5.7603686635944703E-3</v>
      </c>
      <c r="H59" s="5">
        <f t="shared" si="23"/>
        <v>-6.8965517241379917E-3</v>
      </c>
      <c r="I59" s="5">
        <f t="shared" si="23"/>
        <v>1.8987341772152618E-3</v>
      </c>
      <c r="J59" s="5">
        <f t="shared" si="23"/>
        <v>-3.7523452157598496E-2</v>
      </c>
      <c r="K59" s="5">
        <f t="shared" si="23"/>
        <v>5.854800936767817E-4</v>
      </c>
      <c r="L59" s="5">
        <f t="shared" si="23"/>
        <v>-5.7471264367816325E-3</v>
      </c>
      <c r="M59" s="5">
        <f t="shared" si="23"/>
        <v>1.5594541910331468E-2</v>
      </c>
      <c r="N59" s="5">
        <f t="shared" si="23"/>
        <v>2.339181286549741E-3</v>
      </c>
      <c r="O59" s="5">
        <f t="shared" si="23"/>
        <v>4.7293746715710832E-3</v>
      </c>
      <c r="P59" s="5">
        <f t="shared" si="23"/>
        <v>4.5480386583284984E-3</v>
      </c>
      <c r="Q59" s="5">
        <f t="shared" si="23"/>
        <v>4.5615813482005937E-3</v>
      </c>
      <c r="R59" s="5">
        <f t="shared" si="23"/>
        <v>4.8913043478261177E-3</v>
      </c>
      <c r="S59" s="5">
        <f t="shared" si="23"/>
        <v>3.3898305084745441E-3</v>
      </c>
      <c r="T59" s="5">
        <f t="shared" si="23"/>
        <v>4.3715846994536144E-3</v>
      </c>
      <c r="U59" s="5">
        <f t="shared" si="23"/>
        <v>8.201523140011751E-3</v>
      </c>
      <c r="V59" s="5">
        <f t="shared" si="23"/>
        <v>0</v>
      </c>
      <c r="W59" s="5">
        <f t="shared" si="23"/>
        <v>4.648460197559625E-3</v>
      </c>
      <c r="X59" s="5">
        <f t="shared" si="23"/>
        <v>6.6261733848703317E-3</v>
      </c>
      <c r="Y59" s="5">
        <f t="shared" si="23"/>
        <v>1.2239902080782657E-3</v>
      </c>
      <c r="Z59" s="5">
        <f t="shared" si="23"/>
        <v>3.5523978685612452E-3</v>
      </c>
      <c r="AA59" s="5">
        <f t="shared" si="23"/>
        <v>1.1487650775417408E-3</v>
      </c>
      <c r="AB59" s="5">
        <f t="shared" si="23"/>
        <v>1.5927189988623337E-2</v>
      </c>
      <c r="AC59" s="5">
        <f t="shared" si="23"/>
        <v>4.6511627906977403E-3</v>
      </c>
      <c r="AD59" s="5">
        <f t="shared" si="23"/>
        <v>4.5532157085942599E-3</v>
      </c>
      <c r="AE59" s="5">
        <f t="shared" si="23"/>
        <v>3.6124114857364886E-2</v>
      </c>
    </row>
    <row r="60" spans="2:31" x14ac:dyDescent="0.3">
      <c r="B60">
        <v>2023</v>
      </c>
      <c r="C60" t="s">
        <v>55</v>
      </c>
      <c r="D60" s="5">
        <f t="shared" ref="D60:AE60" si="24">(D27-D26)/D26</f>
        <v>3.4522439585730398E-3</v>
      </c>
      <c r="E60" s="5">
        <f t="shared" si="24"/>
        <v>-1.423825344091125E-2</v>
      </c>
      <c r="F60" s="5">
        <f t="shared" si="24"/>
        <v>-9.9228791773778982E-2</v>
      </c>
      <c r="G60" s="5">
        <f t="shared" si="24"/>
        <v>1.5463917525773294E-2</v>
      </c>
      <c r="H60" s="5">
        <f t="shared" si="24"/>
        <v>-4.2200854700854579E-2</v>
      </c>
      <c r="I60" s="5">
        <f t="shared" si="24"/>
        <v>7.0751737207833149E-2</v>
      </c>
      <c r="J60" s="5">
        <f t="shared" si="24"/>
        <v>-7.7972709551658026E-3</v>
      </c>
      <c r="K60" s="5">
        <f t="shared" si="24"/>
        <v>5.8513750731418557E-4</v>
      </c>
      <c r="L60" s="5">
        <f t="shared" si="24"/>
        <v>-9.0834021469859156E-3</v>
      </c>
      <c r="M60" s="5">
        <f t="shared" si="24"/>
        <v>6.2380038387715112E-3</v>
      </c>
      <c r="N60" s="5">
        <f t="shared" si="24"/>
        <v>5.2508751458576761E-3</v>
      </c>
      <c r="O60" s="5">
        <f t="shared" si="24"/>
        <v>9.4142259414226534E-3</v>
      </c>
      <c r="P60" s="5">
        <f t="shared" si="24"/>
        <v>1.6977928692700134E-3</v>
      </c>
      <c r="Q60" s="5">
        <f t="shared" si="24"/>
        <v>6.5590312815338621E-3</v>
      </c>
      <c r="R60" s="5">
        <f t="shared" si="24"/>
        <v>7.0308274743103453E-3</v>
      </c>
      <c r="S60" s="5">
        <f t="shared" si="24"/>
        <v>6.1936936936936617E-3</v>
      </c>
      <c r="T60" s="5">
        <f t="shared" si="24"/>
        <v>7.0729053318823879E-3</v>
      </c>
      <c r="U60" s="5">
        <f t="shared" si="24"/>
        <v>8.1348053457292614E-3</v>
      </c>
      <c r="V60" s="5">
        <f t="shared" si="24"/>
        <v>5.4945054945051823E-4</v>
      </c>
      <c r="W60" s="5">
        <f t="shared" si="24"/>
        <v>7.5187969924811037E-3</v>
      </c>
      <c r="X60" s="5">
        <f t="shared" si="24"/>
        <v>1.1519473395501889E-2</v>
      </c>
      <c r="Y60" s="5">
        <f t="shared" si="24"/>
        <v>3.6674816625916523E-3</v>
      </c>
      <c r="Z60" s="5">
        <f t="shared" si="24"/>
        <v>4.7197640117994768E-3</v>
      </c>
      <c r="AA60" s="5">
        <f t="shared" si="24"/>
        <v>4.016064257028047E-3</v>
      </c>
      <c r="AB60" s="5">
        <f t="shared" si="24"/>
        <v>1.3437849944008991E-2</v>
      </c>
      <c r="AC60" s="5">
        <f t="shared" si="24"/>
        <v>7.5231481481480489E-3</v>
      </c>
      <c r="AD60" s="5">
        <f t="shared" si="24"/>
        <v>3.9660056657223148E-3</v>
      </c>
      <c r="AE60" s="5">
        <f t="shared" si="24"/>
        <v>1.676222127830582E-2</v>
      </c>
    </row>
    <row r="61" spans="2:31" x14ac:dyDescent="0.3">
      <c r="B61">
        <v>2023</v>
      </c>
      <c r="C61" t="s">
        <v>56</v>
      </c>
      <c r="D61" s="5">
        <f t="shared" ref="D61:AE61" si="25">(D28-D27)/D27</f>
        <v>0</v>
      </c>
      <c r="E61" s="5">
        <f t="shared" si="25"/>
        <v>0</v>
      </c>
      <c r="F61" s="5">
        <f t="shared" si="25"/>
        <v>0</v>
      </c>
      <c r="G61" s="5">
        <f t="shared" si="25"/>
        <v>0</v>
      </c>
      <c r="H61" s="5">
        <f t="shared" si="25"/>
        <v>-5.5772448410497898E-4</v>
      </c>
      <c r="I61" s="5">
        <f t="shared" si="25"/>
        <v>0</v>
      </c>
      <c r="J61" s="5">
        <f t="shared" si="25"/>
        <v>6.5487884741337755E-4</v>
      </c>
      <c r="K61" s="5">
        <f t="shared" si="25"/>
        <v>5.8479532163739363E-4</v>
      </c>
      <c r="L61" s="5">
        <f t="shared" si="25"/>
        <v>0</v>
      </c>
      <c r="M61" s="5">
        <f t="shared" si="25"/>
        <v>0</v>
      </c>
      <c r="N61" s="5">
        <f t="shared" si="25"/>
        <v>0</v>
      </c>
      <c r="O61" s="5">
        <f t="shared" si="25"/>
        <v>0</v>
      </c>
      <c r="P61" s="5">
        <f t="shared" si="25"/>
        <v>0</v>
      </c>
      <c r="Q61" s="5">
        <f t="shared" si="25"/>
        <v>0</v>
      </c>
      <c r="R61" s="5">
        <f t="shared" si="25"/>
        <v>-5.3705692803434116E-4</v>
      </c>
      <c r="S61" s="5">
        <f t="shared" si="25"/>
        <v>0</v>
      </c>
      <c r="T61" s="5">
        <f t="shared" si="25"/>
        <v>0</v>
      </c>
      <c r="U61" s="5">
        <f t="shared" si="25"/>
        <v>0</v>
      </c>
      <c r="V61" s="5">
        <f t="shared" si="25"/>
        <v>-1.0982976386600144E-3</v>
      </c>
      <c r="W61" s="5">
        <f t="shared" si="25"/>
        <v>0</v>
      </c>
      <c r="X61" s="5">
        <f t="shared" si="25"/>
        <v>0</v>
      </c>
      <c r="Y61" s="5">
        <f t="shared" si="25"/>
        <v>0</v>
      </c>
      <c r="Z61" s="5">
        <f t="shared" si="25"/>
        <v>0</v>
      </c>
      <c r="AA61" s="5">
        <f t="shared" si="25"/>
        <v>0</v>
      </c>
      <c r="AB61" s="5">
        <f t="shared" si="25"/>
        <v>0</v>
      </c>
      <c r="AC61" s="5">
        <f t="shared" si="25"/>
        <v>0</v>
      </c>
      <c r="AD61" s="5">
        <f t="shared" si="25"/>
        <v>0</v>
      </c>
      <c r="AE61" s="5">
        <f t="shared" si="25"/>
        <v>-4.5445857664744529E-2</v>
      </c>
    </row>
    <row r="62" spans="2:31" x14ac:dyDescent="0.3">
      <c r="B62">
        <v>2023</v>
      </c>
      <c r="C62" t="s">
        <v>57</v>
      </c>
      <c r="D62" s="5">
        <f t="shared" ref="D62:AE62" si="26">(D29-D28)/D28</f>
        <v>-3.4403669724770315E-3</v>
      </c>
      <c r="E62" s="5">
        <f t="shared" si="26"/>
        <v>7.7034183919115207E-3</v>
      </c>
      <c r="F62" s="5">
        <f t="shared" si="26"/>
        <v>-3.1963470319634674E-2</v>
      </c>
      <c r="G62" s="5">
        <f t="shared" si="26"/>
        <v>6.2041737168640398E-3</v>
      </c>
      <c r="H62" s="5">
        <f t="shared" si="26"/>
        <v>-2.3995535714285622E-2</v>
      </c>
      <c r="I62" s="5">
        <f t="shared" si="26"/>
        <v>4.0117994100295054E-2</v>
      </c>
      <c r="J62" s="5">
        <f t="shared" si="26"/>
        <v>1.7015706806282685E-2</v>
      </c>
      <c r="K62" s="5">
        <f t="shared" si="26"/>
        <v>1.3442431326709593E-2</v>
      </c>
      <c r="L62" s="5">
        <f t="shared" si="26"/>
        <v>1.0833333333333309E-2</v>
      </c>
      <c r="M62" s="5">
        <f t="shared" si="26"/>
        <v>1.5259895088221351E-2</v>
      </c>
      <c r="N62" s="5">
        <f t="shared" si="26"/>
        <v>3.4822983168891135E-3</v>
      </c>
      <c r="O62" s="5">
        <f t="shared" si="26"/>
        <v>2.5906735751295338E-3</v>
      </c>
      <c r="P62" s="5">
        <f t="shared" si="26"/>
        <v>5.0847457627118961E-3</v>
      </c>
      <c r="Q62" s="5">
        <f t="shared" si="26"/>
        <v>5.5137844611528536E-3</v>
      </c>
      <c r="R62" s="5">
        <f t="shared" si="26"/>
        <v>4.2987641053197816E-3</v>
      </c>
      <c r="S62" s="5">
        <f t="shared" si="26"/>
        <v>2.7979854504756579E-3</v>
      </c>
      <c r="T62" s="5">
        <f t="shared" si="26"/>
        <v>3.2414910858994833E-3</v>
      </c>
      <c r="U62" s="5">
        <f t="shared" si="26"/>
        <v>9.7982708933716921E-3</v>
      </c>
      <c r="V62" s="5">
        <f t="shared" si="26"/>
        <v>-1.0995052226499013E-3</v>
      </c>
      <c r="W62" s="5">
        <f t="shared" si="26"/>
        <v>2.2962112514351646E-3</v>
      </c>
      <c r="X62" s="5">
        <f t="shared" si="26"/>
        <v>3.2537960954446546E-3</v>
      </c>
      <c r="Y62" s="5">
        <f t="shared" si="26"/>
        <v>1.8270401948843567E-3</v>
      </c>
      <c r="Z62" s="5">
        <f t="shared" si="26"/>
        <v>2.3487962419258793E-3</v>
      </c>
      <c r="AA62" s="5">
        <f t="shared" si="26"/>
        <v>8.0000000000000331E-3</v>
      </c>
      <c r="AB62" s="5">
        <f t="shared" si="26"/>
        <v>1.6574585635359115E-2</v>
      </c>
      <c r="AC62" s="5">
        <f t="shared" si="26"/>
        <v>5.1694428489374254E-3</v>
      </c>
      <c r="AD62" s="5">
        <f t="shared" si="26"/>
        <v>5.0790067720090613E-3</v>
      </c>
      <c r="AE62" s="5">
        <f t="shared" si="26"/>
        <v>6.6410907167830421E-2</v>
      </c>
    </row>
    <row r="63" spans="2:31" x14ac:dyDescent="0.3">
      <c r="B63">
        <v>2023</v>
      </c>
      <c r="C63" t="s">
        <v>58</v>
      </c>
      <c r="D63" s="5">
        <f t="shared" ref="D63:AE63" si="27">(D30-D29)/D29</f>
        <v>-5.7537399309564284E-4</v>
      </c>
      <c r="E63" s="5">
        <f t="shared" si="27"/>
        <v>2.3889154323936932E-2</v>
      </c>
      <c r="F63" s="5">
        <f t="shared" si="27"/>
        <v>2.122641509433959E-2</v>
      </c>
      <c r="G63" s="5">
        <f t="shared" si="27"/>
        <v>6.1659192825111791E-3</v>
      </c>
      <c r="H63" s="5">
        <f t="shared" si="27"/>
        <v>-2.801600914808465E-2</v>
      </c>
      <c r="I63" s="5">
        <f t="shared" si="27"/>
        <v>-2.32558139534885E-2</v>
      </c>
      <c r="J63" s="5">
        <f t="shared" si="27"/>
        <v>3.6036036036036001E-2</v>
      </c>
      <c r="K63" s="5">
        <f t="shared" si="27"/>
        <v>1.2687427912341341E-2</v>
      </c>
      <c r="L63" s="5">
        <f t="shared" si="27"/>
        <v>1.1541632316570533E-2</v>
      </c>
      <c r="M63" s="5">
        <f t="shared" si="27"/>
        <v>2.3954908407703118E-2</v>
      </c>
      <c r="N63" s="5">
        <f t="shared" si="27"/>
        <v>2.8918449971081549E-3</v>
      </c>
      <c r="O63" s="5">
        <f t="shared" si="27"/>
        <v>3.6175710594314658E-3</v>
      </c>
      <c r="P63" s="5">
        <f t="shared" si="27"/>
        <v>6.7453625632377095E-3</v>
      </c>
      <c r="Q63" s="5">
        <f t="shared" si="27"/>
        <v>1.9940179461615439E-3</v>
      </c>
      <c r="R63" s="5">
        <f t="shared" si="27"/>
        <v>2.1401819154628445E-3</v>
      </c>
      <c r="S63" s="5">
        <f t="shared" si="27"/>
        <v>2.7901785714285715E-3</v>
      </c>
      <c r="T63" s="5">
        <f t="shared" si="27"/>
        <v>2.6925148088314489E-3</v>
      </c>
      <c r="U63" s="5">
        <f t="shared" si="27"/>
        <v>2.2831050228310826E-3</v>
      </c>
      <c r="V63" s="5">
        <f t="shared" si="27"/>
        <v>6.0539350577876877E-3</v>
      </c>
      <c r="W63" s="5">
        <f t="shared" si="27"/>
        <v>3.4364261168384554E-3</v>
      </c>
      <c r="X63" s="5">
        <f t="shared" si="27"/>
        <v>3.7837837837837222E-3</v>
      </c>
      <c r="Y63" s="5">
        <f t="shared" si="27"/>
        <v>1.8237082066869992E-3</v>
      </c>
      <c r="Z63" s="5">
        <f t="shared" si="27"/>
        <v>2.9291154071470417E-3</v>
      </c>
      <c r="AA63" s="5">
        <f t="shared" si="27"/>
        <v>3.9682539682539038E-3</v>
      </c>
      <c r="AB63" s="5">
        <f t="shared" si="27"/>
        <v>6.5217391304347207E-3</v>
      </c>
      <c r="AC63" s="5">
        <f t="shared" si="27"/>
        <v>3.999999999999935E-3</v>
      </c>
      <c r="AD63" s="5">
        <f t="shared" si="27"/>
        <v>5.614823133071308E-3</v>
      </c>
      <c r="AE63" s="5">
        <f t="shared" si="27"/>
        <v>-0.10475521515911457</v>
      </c>
    </row>
    <row r="65" spans="4:30" x14ac:dyDescent="0.3">
      <c r="D65" s="8">
        <f>CORREL(D36:D63, $AE$36:$AE$63)</f>
        <v>-0.23194548427211534</v>
      </c>
      <c r="E65" s="8">
        <f t="shared" ref="E65:AD65" si="28">CORREL(E36:E63, $AE$36:$AE$63)</f>
        <v>0.40058269971039129</v>
      </c>
      <c r="F65" s="8">
        <f t="shared" si="28"/>
        <v>-0.23984678892634867</v>
      </c>
      <c r="G65" s="8">
        <f t="shared" si="28"/>
        <v>-0.25173433753071628</v>
      </c>
      <c r="H65" s="8">
        <f t="shared" si="28"/>
        <v>0.38416434185184323</v>
      </c>
      <c r="I65" s="8">
        <f t="shared" si="28"/>
        <v>6.4093893724846251E-2</v>
      </c>
      <c r="J65" s="8">
        <f t="shared" si="28"/>
        <v>3.330236605344352E-2</v>
      </c>
      <c r="K65" s="8">
        <f t="shared" si="28"/>
        <v>-0.20794538192447334</v>
      </c>
      <c r="L65" s="8">
        <f t="shared" si="28"/>
        <v>-0.19226733666801826</v>
      </c>
      <c r="M65" s="8">
        <f t="shared" si="28"/>
        <v>-0.17340487981717151</v>
      </c>
      <c r="N65" s="8">
        <f t="shared" si="28"/>
        <v>0.17290165032850457</v>
      </c>
      <c r="O65" s="8">
        <f t="shared" si="28"/>
        <v>0.10064807977259758</v>
      </c>
      <c r="P65" s="8">
        <f t="shared" si="28"/>
        <v>9.2071318467154564E-2</v>
      </c>
      <c r="Q65" s="8">
        <f t="shared" si="28"/>
        <v>0.15650985064980394</v>
      </c>
      <c r="R65" s="8">
        <f t="shared" si="28"/>
        <v>0.11283258499475651</v>
      </c>
      <c r="S65" s="8">
        <f t="shared" si="28"/>
        <v>0.18409758635351908</v>
      </c>
      <c r="T65" s="8">
        <f t="shared" si="28"/>
        <v>0.13305959190160677</v>
      </c>
      <c r="U65" s="8">
        <f t="shared" si="28"/>
        <v>0.1269684979901354</v>
      </c>
      <c r="V65" s="8">
        <f t="shared" si="28"/>
        <v>0.11348726752560603</v>
      </c>
      <c r="W65" s="8">
        <f t="shared" si="28"/>
        <v>8.1750634976280323E-3</v>
      </c>
      <c r="X65" s="8">
        <f t="shared" si="28"/>
        <v>8.4092696023135002E-2</v>
      </c>
      <c r="Y65" s="8">
        <f t="shared" si="28"/>
        <v>0.10625538138853136</v>
      </c>
      <c r="Z65" s="8">
        <f t="shared" si="28"/>
        <v>0.13237131774840946</v>
      </c>
      <c r="AA65" s="8">
        <f t="shared" si="28"/>
        <v>-0.11717248379586857</v>
      </c>
      <c r="AB65" s="8">
        <f t="shared" si="28"/>
        <v>2.6687050688339806E-2</v>
      </c>
      <c r="AC65" s="8">
        <f t="shared" si="28"/>
        <v>9.4241225569045878E-2</v>
      </c>
      <c r="AD65" s="8">
        <f t="shared" si="28"/>
        <v>0.11815233360806152</v>
      </c>
    </row>
  </sheetData>
  <autoFilter ref="A1:AD30" xr:uid="{000041B7-5D5C-4532-8400-46DA74F661C9}"/>
  <phoneticPr fontId="18" type="noConversion"/>
  <conditionalFormatting sqref="D65:AD65">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 answers and observati</vt:lpstr>
      <vt:lpstr>original data</vt:lpstr>
      <vt:lpstr>Answer 1</vt:lpstr>
      <vt:lpstr>Answer 2</vt:lpstr>
      <vt:lpstr>Answer 2 chart</vt:lpstr>
      <vt:lpstr>Answer 3</vt:lpstr>
      <vt:lpstr>Answer3 second part</vt:lpstr>
      <vt:lpstr>Answer 4 covid 19 effect</vt:lpstr>
      <vt:lpstr>Answer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SINGLA</dc:creator>
  <cp:lastModifiedBy>KARAN SINGLA</cp:lastModifiedBy>
  <dcterms:created xsi:type="dcterms:W3CDTF">2026-06-27T07:46:14Z</dcterms:created>
  <dcterms:modified xsi:type="dcterms:W3CDTF">2026-07-06T17:41:09Z</dcterms:modified>
</cp:coreProperties>
</file>